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PowerShell_Tests" sheetId="2" state="visible" r:id="rId2"/>
    <sheet xmlns:r="http://schemas.openxmlformats.org/officeDocument/2006/relationships" name="Conda_Tests" sheetId="3" state="visible" r:id="rId3"/>
    <sheet xmlns:r="http://schemas.openxmlformats.org/officeDocument/2006/relationships" name="Python_Tests" sheetId="4" state="visible" r:id="rId4"/>
    <sheet xmlns:r="http://schemas.openxmlformats.org/officeDocument/2006/relationships" name="Psi4_Tests" sheetId="5" state="visible" r:id="rId5"/>
    <sheet xmlns:r="http://schemas.openxmlformats.org/officeDocument/2006/relationships" name="Braket_Tests" sheetId="6" state="visible" r:id="rId6"/>
    <sheet xmlns:r="http://schemas.openxmlformats.org/officeDocument/2006/relationships" name="VSCode_Tests" sheetId="7" state="visible" r:id="rId7"/>
    <sheet xmlns:r="http://schemas.openxmlformats.org/officeDocument/2006/relationships" name="Hybrid_Tests" sheetId="8" state="visible" r:id="rId8"/>
    <sheet xmlns:r="http://schemas.openxmlformats.org/officeDocument/2006/relationships" name="Challenge_Lab" sheetId="9" state="visible" r:id="rId9"/>
    <sheet xmlns:r="http://schemas.openxmlformats.org/officeDocument/2006/relationships" name="Instructor_Mode" sheetId="10" state="visible" r:id="rId10"/>
    <sheet xmlns:r="http://schemas.openxmlformats.org/officeDocument/2006/relationships" name="Dashboa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PowerShell_Tests!A1" TargetMode="External" Id="rId1"/><Relationship Type="http://schemas.openxmlformats.org/officeDocument/2006/relationships/hyperlink" Target="#Conda_Tests!A1" TargetMode="External" Id="rId2"/><Relationship Type="http://schemas.openxmlformats.org/officeDocument/2006/relationships/hyperlink" Target="#Python_Tests!A1" TargetMode="External" Id="rId3"/><Relationship Type="http://schemas.openxmlformats.org/officeDocument/2006/relationships/hyperlink" Target="#Psi4_Tests!A1" TargetMode="External" Id="rId4"/><Relationship Type="http://schemas.openxmlformats.org/officeDocument/2006/relationships/hyperlink" Target="#Braket_Tests!A1" TargetMode="External" Id="rId5"/><Relationship Type="http://schemas.openxmlformats.org/officeDocument/2006/relationships/hyperlink" Target="#VSCode_Tests!A1" TargetMode="External" Id="rId6"/><Relationship Type="http://schemas.openxmlformats.org/officeDocument/2006/relationships/hyperlink" Target="#Hybrid_Tests!A1" TargetMode="External" Id="rId7"/><Relationship Type="http://schemas.openxmlformats.org/officeDocument/2006/relationships/hyperlink" Target="#Challenge_Lab!A1" TargetMode="External" Id="rId8"/><Relationship Type="http://schemas.openxmlformats.org/officeDocument/2006/relationships/hyperlink" Target="#Dashboard!A1" TargetMode="External" Id="rId9"/><Relationship Type="http://schemas.openxmlformats.org/officeDocument/2006/relationships/hyperlink" Target="#Instructor_Mode!A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22" customWidth="1" min="3" max="3"/>
  </cols>
  <sheetData>
    <row r="1">
      <c r="A1" s="1" t="inlineStr">
        <is>
          <t>Section</t>
        </is>
      </c>
      <c r="B1" s="1" t="inlineStr">
        <is>
          <t>Description</t>
        </is>
      </c>
      <c r="C1" s="1" t="inlineStr">
        <is>
          <t>Go</t>
        </is>
      </c>
    </row>
    <row r="2">
      <c r="A2" s="2" t="inlineStr">
        <is>
          <t>PowerShell Tests</t>
        </is>
      </c>
      <c r="B2" s="2" t="inlineStr">
        <is>
          <t>Filesystem, execution, logging</t>
        </is>
      </c>
      <c r="C2" s="3" t="inlineStr">
        <is>
          <t>→ PowerShell_Tests</t>
        </is>
      </c>
    </row>
    <row r="3">
      <c r="A3" s="2" t="inlineStr">
        <is>
          <t>Conda Tests</t>
        </is>
      </c>
      <c r="B3" s="2" t="inlineStr">
        <is>
          <t>Envs, packages, export</t>
        </is>
      </c>
      <c r="C3" s="3" t="inlineStr">
        <is>
          <t>→ Conda_Tests</t>
        </is>
      </c>
    </row>
    <row r="4">
      <c r="A4" s="2" t="inlineStr">
        <is>
          <t>Python Tests</t>
        </is>
      </c>
      <c r="B4" s="2" t="inlineStr">
        <is>
          <t>Inline and file execution</t>
        </is>
      </c>
      <c r="C4" s="3" t="inlineStr">
        <is>
          <t>→ Python_Tests</t>
        </is>
      </c>
    </row>
    <row r="5">
      <c r="A5" s="2" t="inlineStr">
        <is>
          <t>Psi4 Tests</t>
        </is>
      </c>
      <c r="B5" s="2" t="inlineStr">
        <is>
          <t>Single-point, optimization</t>
        </is>
      </c>
      <c r="C5" s="3" t="inlineStr">
        <is>
          <t>→ Psi4_Tests</t>
        </is>
      </c>
    </row>
    <row r="6">
      <c r="A6" s="2" t="inlineStr">
        <is>
          <t>Braket Tests</t>
        </is>
      </c>
      <c r="B6" s="2" t="inlineStr">
        <is>
          <t>Devices, circuits, counts</t>
        </is>
      </c>
      <c r="C6" s="3" t="inlineStr">
        <is>
          <t>→ Braket_Tests</t>
        </is>
      </c>
    </row>
    <row r="7">
      <c r="A7" s="2" t="inlineStr">
        <is>
          <t>VS Code Tests</t>
        </is>
      </c>
      <c r="B7" s="2" t="inlineStr">
        <is>
          <t>Interpreter, terminal, run</t>
        </is>
      </c>
      <c r="C7" s="3" t="inlineStr">
        <is>
          <t>→ VSCode_Tests</t>
        </is>
      </c>
    </row>
    <row r="8">
      <c r="A8" s="2" t="inlineStr">
        <is>
          <t>Hybrid Tests</t>
        </is>
      </c>
      <c r="B8" s="2" t="inlineStr">
        <is>
          <t>Psi4 ↔ Braket integrations</t>
        </is>
      </c>
      <c r="C8" s="3" t="inlineStr">
        <is>
          <t>→ Hybrid_Tests</t>
        </is>
      </c>
    </row>
    <row r="9">
      <c r="A9" s="2" t="inlineStr">
        <is>
          <t>Challenge Lab</t>
        </is>
      </c>
      <c r="B9" s="2" t="inlineStr">
        <is>
          <t>End-to-end scenario</t>
        </is>
      </c>
      <c r="C9" s="3" t="inlineStr">
        <is>
          <t>→ Challenge_Lab</t>
        </is>
      </c>
    </row>
    <row r="10">
      <c r="A10" s="2" t="inlineStr">
        <is>
          <t>Dashboard</t>
        </is>
      </c>
      <c r="B10" s="2" t="inlineStr">
        <is>
          <t>Results summary</t>
        </is>
      </c>
      <c r="C10" s="3" t="inlineStr">
        <is>
          <t>→ Dashboard</t>
        </is>
      </c>
    </row>
    <row r="11">
      <c r="A11" s="2" t="inlineStr">
        <is>
          <t>Instructor Mode</t>
        </is>
      </c>
      <c r="B11" s="2" t="inlineStr">
        <is>
          <t>Auto-scoring helpers</t>
        </is>
      </c>
      <c r="C11" s="3" t="inlineStr">
        <is>
          <t>→ Instructor_Mode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48" customWidth="1" min="4" max="4"/>
    <col width="40" customWidth="1" min="5" max="5"/>
    <col width="30" customWidth="1" min="6" max="6"/>
    <col width="40" customWidth="1" min="7" max="7"/>
    <col width="20" customWidth="1" min="8" max="8"/>
    <col width="14" customWidth="1" min="9" max="9"/>
    <col width="38" customWidth="1" min="10" max="10"/>
    <col width="14" customWidth="1" min="11" max="11"/>
  </cols>
  <sheetData>
    <row r="1">
      <c r="A1" s="1" t="inlineStr">
        <is>
          <t>Step</t>
        </is>
      </c>
      <c r="B1" s="1" t="inlineStr">
        <is>
          <t>Tool</t>
        </is>
      </c>
      <c r="C1" s="1" t="inlineStr">
        <is>
          <t>Purpose</t>
        </is>
      </c>
      <c r="D1" s="1" t="inlineStr">
        <is>
          <t>Command / Code</t>
        </is>
      </c>
      <c r="E1" s="1" t="inlineStr">
        <is>
          <t>Expected Output</t>
        </is>
      </c>
      <c r="F1" s="1" t="inlineStr">
        <is>
          <t>🧪 User Live Command</t>
        </is>
      </c>
      <c r="G1" s="1" t="inlineStr">
        <is>
          <t>🧾 Paste Your Result</t>
        </is>
      </c>
      <c r="H1" s="1" t="inlineStr">
        <is>
          <t>Numeric Check (optional)</t>
        </is>
      </c>
      <c r="I1" s="1" t="inlineStr">
        <is>
          <t>✅ Match (Y/N)</t>
        </is>
      </c>
      <c r="J1" s="1" t="inlineStr">
        <is>
          <t>Notes / Troubleshooting</t>
        </is>
      </c>
      <c r="K1" s="1" t="inlineStr">
        <is>
          <t>Auto Score</t>
        </is>
      </c>
    </row>
    <row r="2">
      <c r="A2" s="2" t="n">
        <v>1</v>
      </c>
      <c r="B2" s="2" t="inlineStr">
        <is>
          <t>PowerShell</t>
        </is>
      </c>
      <c r="C2" s="2" t="inlineStr">
        <is>
          <t>Verify shell + path</t>
        </is>
      </c>
      <c r="D2" s="2" t="inlineStr">
        <is>
          <t>Get-Location</t>
        </is>
      </c>
      <c r="E2" s="2" t="inlineStr">
        <is>
          <t>&lt;Your home path&gt;</t>
        </is>
      </c>
      <c r="F2" s="2" t="inlineStr">
        <is>
          <t>Get-Location</t>
        </is>
      </c>
      <c r="G2" s="2" t="inlineStr"/>
      <c r="H2" s="2" t="inlineStr"/>
      <c r="I2" s="2" t="inlineStr"/>
      <c r="J2" s="2" t="inlineStr">
        <is>
          <t>If path is wrong, run: Set-Location ~</t>
        </is>
      </c>
      <c r="K2" s="2">
        <f>IF(I2="Y","PASS",IF(I2="N","CHECK",""))</f>
        <v/>
      </c>
    </row>
    <row r="3">
      <c r="A3" s="2" t="n">
        <v>2</v>
      </c>
      <c r="B3" s="2" t="inlineStr">
        <is>
          <t>PowerShell</t>
        </is>
      </c>
      <c r="C3" s="2" t="inlineStr">
        <is>
          <t>Create project + script</t>
        </is>
      </c>
      <c r="D3" s="2" t="inlineStr">
        <is>
          <t>$proj="$HOME/Desktop/QSMEC_Test"
New-Item -ItemType Directory -Force -Path $proj
Set-Content "$proj/hello.py" @'
print("hello quantum")
'@
python "$proj/hello.py"</t>
        </is>
      </c>
      <c r="E3" s="2" t="inlineStr">
        <is>
          <t>hello quantum</t>
        </is>
      </c>
      <c r="F3" s="2" t="inlineStr">
        <is>
          <t>python "$HOME/Desktop/QSMEC_Test/hello.py"</t>
        </is>
      </c>
      <c r="G3" s="2" t="inlineStr"/>
      <c r="H3" s="2" t="inlineStr"/>
      <c r="I3" s="2" t="inlineStr"/>
      <c r="J3" s="2" t="inlineStr">
        <is>
          <t>If python not found, conda activate qchem</t>
        </is>
      </c>
      <c r="K3" s="2">
        <f>IF(I3="Y","PASS",IF(I3="N","CHECK",""))</f>
        <v/>
      </c>
    </row>
    <row r="4">
      <c r="A4" s="2" t="n">
        <v>3</v>
      </c>
      <c r="B4" s="2" t="inlineStr">
        <is>
          <t>PowerShell</t>
        </is>
      </c>
      <c r="C4" s="2" t="inlineStr">
        <is>
          <t>Search in output</t>
        </is>
      </c>
      <c r="D4" s="2" t="inlineStr">
        <is>
          <t>Get-Content "$proj/hello.py" | Select-String "hello"</t>
        </is>
      </c>
      <c r="E4" s="2" t="inlineStr">
        <is>
          <t>hello</t>
        </is>
      </c>
      <c r="F4" s="2" t="inlineStr">
        <is>
          <t>Get-Content "$HOME/Desktop/QSMEC_Test/hello.py" | Select-String "hello"</t>
        </is>
      </c>
      <c r="G4" s="2" t="inlineStr"/>
      <c r="H4" s="2" t="inlineStr"/>
      <c r="I4" s="2" t="inlineStr"/>
      <c r="J4" s="2" t="inlineStr">
        <is>
          <t>Use quotes for paths with spaces</t>
        </is>
      </c>
      <c r="K4" s="2">
        <f>IF(I4="Y","PASS",IF(I4="N","CHECK",""))</f>
        <v/>
      </c>
    </row>
  </sheetData>
  <dataValidations count="2">
    <dataValidation sqref="I2 I3 I4" showErrorMessage="1" showInputMessage="1" allowBlank="1" type="list">
      <formula1>"Y,N"</formula1>
    </dataValidation>
    <dataValidation sqref="B2 B3 B4" showErrorMessage="1" showInputMessage="1" allowBlank="1" type="list">
      <formula1>"PowerShell,Conda,Python,Psi4,Braket,VSCode,Hybrid"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48" customWidth="1" min="4" max="4"/>
    <col width="40" customWidth="1" min="5" max="5"/>
    <col width="30" customWidth="1" min="6" max="6"/>
    <col width="40" customWidth="1" min="7" max="7"/>
    <col width="20" customWidth="1" min="8" max="8"/>
    <col width="14" customWidth="1" min="9" max="9"/>
    <col width="38" customWidth="1" min="10" max="10"/>
    <col width="14" customWidth="1" min="11" max="11"/>
  </cols>
  <sheetData>
    <row r="1">
      <c r="A1" s="1" t="inlineStr">
        <is>
          <t>Step</t>
        </is>
      </c>
      <c r="B1" s="1" t="inlineStr">
        <is>
          <t>Tool</t>
        </is>
      </c>
      <c r="C1" s="1" t="inlineStr">
        <is>
          <t>Purpose</t>
        </is>
      </c>
      <c r="D1" s="1" t="inlineStr">
        <is>
          <t>Command / Code</t>
        </is>
      </c>
      <c r="E1" s="1" t="inlineStr">
        <is>
          <t>Expected Output</t>
        </is>
      </c>
      <c r="F1" s="1" t="inlineStr">
        <is>
          <t>🧪 User Live Command</t>
        </is>
      </c>
      <c r="G1" s="1" t="inlineStr">
        <is>
          <t>🧾 Paste Your Result</t>
        </is>
      </c>
      <c r="H1" s="1" t="inlineStr">
        <is>
          <t>Numeric Check (optional)</t>
        </is>
      </c>
      <c r="I1" s="1" t="inlineStr">
        <is>
          <t>✅ Match (Y/N)</t>
        </is>
      </c>
      <c r="J1" s="1" t="inlineStr">
        <is>
          <t>Notes / Troubleshooting</t>
        </is>
      </c>
      <c r="K1" s="1" t="inlineStr">
        <is>
          <t>Auto Score</t>
        </is>
      </c>
    </row>
    <row r="2">
      <c r="A2" s="2" t="n">
        <v>1</v>
      </c>
      <c r="B2" s="2" t="inlineStr">
        <is>
          <t>Conda</t>
        </is>
      </c>
      <c r="C2" s="2" t="inlineStr">
        <is>
          <t>Activate env</t>
        </is>
      </c>
      <c r="D2" s="2" t="inlineStr">
        <is>
          <t>conda activate qchem</t>
        </is>
      </c>
      <c r="E2" s="2" t="inlineStr">
        <is>
          <t>(qchem) prompt</t>
        </is>
      </c>
      <c r="F2" s="2" t="inlineStr">
        <is>
          <t>conda activate qchem</t>
        </is>
      </c>
      <c r="G2" s="2" t="inlineStr"/>
      <c r="H2" s="2" t="inlineStr"/>
      <c r="I2" s="2" t="inlineStr"/>
      <c r="J2" s="2" t="inlineStr">
        <is>
          <t>If not found, reload profile: . $PROFILE</t>
        </is>
      </c>
      <c r="K2" s="2">
        <f>IF(I2="Y","PASS",IF(I2="N","CHECK",""))</f>
        <v/>
      </c>
    </row>
    <row r="3">
      <c r="A3" s="2" t="n">
        <v>2</v>
      </c>
      <c r="B3" s="2" t="inlineStr">
        <is>
          <t>Conda</t>
        </is>
      </c>
      <c r="C3" s="2" t="inlineStr">
        <is>
          <t>Install pkg</t>
        </is>
      </c>
      <c r="D3" s="2" t="inlineStr">
        <is>
          <t>conda install -c conda-forge numpy -y</t>
        </is>
      </c>
      <c r="E3" s="2" t="inlineStr">
        <is>
          <t>numpy listed in conda list</t>
        </is>
      </c>
      <c r="F3" s="2" t="inlineStr">
        <is>
          <t>conda list | Select-String numpy</t>
        </is>
      </c>
      <c r="G3" s="2" t="inlineStr"/>
      <c r="H3" s="2" t="inlineStr"/>
      <c r="I3" s="2" t="inlineStr"/>
      <c r="J3" s="2" t="inlineStr">
        <is>
          <t>Prefer conda-forge</t>
        </is>
      </c>
      <c r="K3" s="2">
        <f>IF(I3="Y","PASS",IF(I3="N","CHECK",""))</f>
        <v/>
      </c>
    </row>
    <row r="4">
      <c r="A4" s="2" t="n">
        <v>3</v>
      </c>
      <c r="B4" s="2" t="inlineStr">
        <is>
          <t>Conda</t>
        </is>
      </c>
      <c r="C4" s="2" t="inlineStr">
        <is>
          <t>Export env</t>
        </is>
      </c>
      <c r="D4" s="2" t="inlineStr">
        <is>
          <t>conda env export &gt; $HOME/Desktop/qchem_env.yml</t>
        </is>
      </c>
      <c r="E4" s="2" t="inlineStr">
        <is>
          <t>YAML file created</t>
        </is>
      </c>
      <c r="F4" s="2" t="inlineStr"/>
      <c r="G4" s="2" t="inlineStr"/>
      <c r="H4" s="2" t="inlineStr"/>
      <c r="I4" s="2" t="inlineStr"/>
      <c r="J4" s="2" t="inlineStr">
        <is>
          <t>If permission error, change folder</t>
        </is>
      </c>
      <c r="K4" s="2">
        <f>IF(I4="Y","PASS",IF(I4="N","CHECK",""))</f>
        <v/>
      </c>
    </row>
  </sheetData>
  <dataValidations count="2">
    <dataValidation sqref="I2 I3 I4" showErrorMessage="1" showInputMessage="1" allowBlank="1" type="list">
      <formula1>"Y,N"</formula1>
    </dataValidation>
    <dataValidation sqref="B2 B3 B4" showErrorMessage="1" showInputMessage="1" allowBlank="1" type="list">
      <formula1>"PowerShell,Conda,Python,Psi4,Braket,VSCode,Hybrid"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48" customWidth="1" min="4" max="4"/>
    <col width="40" customWidth="1" min="5" max="5"/>
    <col width="30" customWidth="1" min="6" max="6"/>
    <col width="40" customWidth="1" min="7" max="7"/>
    <col width="20" customWidth="1" min="8" max="8"/>
    <col width="14" customWidth="1" min="9" max="9"/>
    <col width="38" customWidth="1" min="10" max="10"/>
    <col width="14" customWidth="1" min="11" max="11"/>
  </cols>
  <sheetData>
    <row r="1">
      <c r="A1" s="1" t="inlineStr">
        <is>
          <t>Step</t>
        </is>
      </c>
      <c r="B1" s="1" t="inlineStr">
        <is>
          <t>Tool</t>
        </is>
      </c>
      <c r="C1" s="1" t="inlineStr">
        <is>
          <t>Purpose</t>
        </is>
      </c>
      <c r="D1" s="1" t="inlineStr">
        <is>
          <t>Command / Code</t>
        </is>
      </c>
      <c r="E1" s="1" t="inlineStr">
        <is>
          <t>Expected Output</t>
        </is>
      </c>
      <c r="F1" s="1" t="inlineStr">
        <is>
          <t>🧪 User Live Command</t>
        </is>
      </c>
      <c r="G1" s="1" t="inlineStr">
        <is>
          <t>🧾 Paste Your Result</t>
        </is>
      </c>
      <c r="H1" s="1" t="inlineStr">
        <is>
          <t>Numeric Check (optional)</t>
        </is>
      </c>
      <c r="I1" s="1" t="inlineStr">
        <is>
          <t>✅ Match (Y/N)</t>
        </is>
      </c>
      <c r="J1" s="1" t="inlineStr">
        <is>
          <t>Notes / Troubleshooting</t>
        </is>
      </c>
      <c r="K1" s="1" t="inlineStr">
        <is>
          <t>Auto Score</t>
        </is>
      </c>
    </row>
    <row r="2">
      <c r="A2" s="2" t="n">
        <v>1</v>
      </c>
      <c r="B2" s="2" t="inlineStr">
        <is>
          <t>Python</t>
        </is>
      </c>
      <c r="C2" s="2" t="inlineStr">
        <is>
          <t>Inline run</t>
        </is>
      </c>
      <c r="D2" s="2" t="inlineStr">
        <is>
          <t>python - &lt;&lt;'PY'
import sys; print(sys.version)
PY</t>
        </is>
      </c>
      <c r="E2" s="2" t="inlineStr">
        <is>
          <t>3.13.x or 3.14.x shown</t>
        </is>
      </c>
      <c r="F2" s="2" t="inlineStr"/>
      <c r="G2" s="2" t="inlineStr"/>
      <c r="H2" s="2" t="inlineStr"/>
      <c r="I2" s="2" t="inlineStr"/>
      <c r="J2" s="2" t="inlineStr">
        <is>
          <t>Use exact capitalization of PY</t>
        </is>
      </c>
      <c r="K2" s="2">
        <f>IF(I2="Y","PASS",IF(I2="N","CHECK",""))</f>
        <v/>
      </c>
    </row>
    <row r="3">
      <c r="A3" s="2" t="n">
        <v>2</v>
      </c>
      <c r="B3" s="2" t="inlineStr">
        <is>
          <t>Python</t>
        </is>
      </c>
      <c r="C3" s="2" t="inlineStr">
        <is>
          <t>Run file</t>
        </is>
      </c>
      <c r="D3" s="2" t="inlineStr">
        <is>
          <t>python "$HOME/Desktop/QSMEC_Test/hello.py"</t>
        </is>
      </c>
      <c r="E3" s="2" t="inlineStr">
        <is>
          <t>hello quantum</t>
        </is>
      </c>
      <c r="F3" s="2" t="inlineStr"/>
      <c r="G3" s="2" t="inlineStr"/>
      <c r="H3" s="2" t="inlineStr"/>
      <c r="I3" s="2" t="inlineStr"/>
      <c r="J3" s="2" t="inlineStr">
        <is>
          <t>Activate env if module missing</t>
        </is>
      </c>
      <c r="K3" s="2">
        <f>IF(I3="Y","PASS",IF(I3="N","CHECK",""))</f>
        <v/>
      </c>
    </row>
    <row r="4">
      <c r="A4" s="2" t="n">
        <v>3</v>
      </c>
      <c r="B4" s="2" t="inlineStr">
        <is>
          <t>Python</t>
        </is>
      </c>
      <c r="C4" s="2" t="inlineStr">
        <is>
          <t>Template I/O</t>
        </is>
      </c>
      <c r="D4" s="2" t="inlineStr">
        <is>
          <t>python - &lt;&lt;'PY'
import csv,sys
IN="&lt;EDIT_INPUT&gt;"; OUT="&lt;EDIT_OUTPUT&gt;"
print("IN",IN); print("OUT",OUT)
PY</t>
        </is>
      </c>
      <c r="E4" s="2" t="inlineStr">
        <is>
          <t>Shows IN/OUT</t>
        </is>
      </c>
      <c r="F4" s="2" t="inlineStr"/>
      <c r="G4" s="2" t="inlineStr"/>
      <c r="H4" s="2" t="inlineStr"/>
      <c r="I4" s="2" t="inlineStr"/>
      <c r="J4" s="2" t="inlineStr">
        <is>
          <t>Replace placeholders</t>
        </is>
      </c>
      <c r="K4" s="2">
        <f>IF(I4="Y","PASS",IF(I4="N","CHECK",""))</f>
        <v/>
      </c>
    </row>
  </sheetData>
  <dataValidations count="2">
    <dataValidation sqref="I2 I3 I4" showErrorMessage="1" showInputMessage="1" allowBlank="1" type="list">
      <formula1>"Y,N"</formula1>
    </dataValidation>
    <dataValidation sqref="B2 B3 B4" showErrorMessage="1" showInputMessage="1" allowBlank="1" type="list">
      <formula1>"PowerShell,Conda,Python,Psi4,Braket,VSCode,Hybrid"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48" customWidth="1" min="4" max="4"/>
    <col width="40" customWidth="1" min="5" max="5"/>
    <col width="30" customWidth="1" min="6" max="6"/>
    <col width="40" customWidth="1" min="7" max="7"/>
    <col width="20" customWidth="1" min="8" max="8"/>
    <col width="14" customWidth="1" min="9" max="9"/>
    <col width="38" customWidth="1" min="10" max="10"/>
    <col width="14" customWidth="1" min="11" max="11"/>
  </cols>
  <sheetData>
    <row r="1">
      <c r="A1" s="1" t="inlineStr">
        <is>
          <t>Step</t>
        </is>
      </c>
      <c r="B1" s="1" t="inlineStr">
        <is>
          <t>Tool</t>
        </is>
      </c>
      <c r="C1" s="1" t="inlineStr">
        <is>
          <t>Purpose</t>
        </is>
      </c>
      <c r="D1" s="1" t="inlineStr">
        <is>
          <t>Command / Code</t>
        </is>
      </c>
      <c r="E1" s="1" t="inlineStr">
        <is>
          <t>Expected Output</t>
        </is>
      </c>
      <c r="F1" s="1" t="inlineStr">
        <is>
          <t>🧪 User Live Command</t>
        </is>
      </c>
      <c r="G1" s="1" t="inlineStr">
        <is>
          <t>🧾 Paste Your Result</t>
        </is>
      </c>
      <c r="H1" s="1" t="inlineStr">
        <is>
          <t>Numeric Check (optional)</t>
        </is>
      </c>
      <c r="I1" s="1" t="inlineStr">
        <is>
          <t>✅ Match (Y/N)</t>
        </is>
      </c>
      <c r="J1" s="1" t="inlineStr">
        <is>
          <t>Notes / Troubleshooting</t>
        </is>
      </c>
      <c r="K1" s="1" t="inlineStr">
        <is>
          <t>Auto Score</t>
        </is>
      </c>
    </row>
    <row r="2">
      <c r="A2" s="2" t="n">
        <v>1</v>
      </c>
      <c r="B2" s="2" t="inlineStr">
        <is>
          <t>Psi4</t>
        </is>
      </c>
      <c r="C2" s="2" t="inlineStr">
        <is>
          <t>Single-point He</t>
        </is>
      </c>
      <c r="D2" s="2" t="inlineStr">
        <is>
          <t>python - &lt;&lt;'PY'
import psi4
mol=psi4.geometry("He")
E=psi4.energy("scf/sto-3g", molecule=mol)
print(E)
PY</t>
        </is>
      </c>
      <c r="E2" s="2" t="inlineStr">
        <is>
          <t>≈ -2.8079133545 Hartree</t>
        </is>
      </c>
      <c r="F2" s="2" t="inlineStr"/>
      <c r="G2" s="2" t="inlineStr"/>
      <c r="H2" s="2" t="n">
        <v>-2.8079133545</v>
      </c>
      <c r="I2" s="2" t="inlineStr"/>
      <c r="J2" s="2" t="inlineStr">
        <is>
          <t>Energy varies by minor build diffs</t>
        </is>
      </c>
      <c r="K2" s="2">
        <f>IF(AND(ISNUMBER(H2),ABS(H2-INDIRECT("H2"))&lt;0.001),"PASS","CHECK")</f>
        <v/>
      </c>
    </row>
    <row r="3">
      <c r="A3" s="2" t="n">
        <v>2</v>
      </c>
      <c r="B3" s="2" t="inlineStr">
        <is>
          <t>Psi4</t>
        </is>
      </c>
      <c r="C3" s="2" t="inlineStr">
        <is>
          <t>Optimization H2O</t>
        </is>
      </c>
      <c r="D3" s="2" t="inlineStr">
        <is>
          <t>python - &lt;&lt;'PY'
import psi4
mol=psi4.geometry("""
0 1
O
H 1 0.96
H 1 0.96 2 104.5
""")
E=psi4.optimize("b3lyp/6-31g*", molecule=mol)
print(E)
PY</t>
        </is>
      </c>
      <c r="E3" s="2" t="inlineStr">
        <is>
          <t>Converged energy printed</t>
        </is>
      </c>
      <c r="F3" s="2" t="inlineStr"/>
      <c r="G3" s="2" t="inlineStr"/>
      <c r="H3" s="2" t="inlineStr"/>
      <c r="I3" s="2" t="inlineStr"/>
      <c r="J3" s="2" t="inlineStr">
        <is>
          <t>Takes longer; watch .out file</t>
        </is>
      </c>
      <c r="K3" s="2">
        <f>IF(I3="Y","PASS",IF(I3="N","CHECK",""))</f>
        <v/>
      </c>
    </row>
  </sheetData>
  <dataValidations count="2">
    <dataValidation sqref="I2 I3 I4" showErrorMessage="1" showInputMessage="1" allowBlank="1" type="list">
      <formula1>"Y,N"</formula1>
    </dataValidation>
    <dataValidation sqref="B2 B3 B4" showErrorMessage="1" showInputMessage="1" allowBlank="1" type="list">
      <formula1>"PowerShell,Conda,Python,Psi4,Braket,VSCode,Hybrid"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48" customWidth="1" min="4" max="4"/>
    <col width="40" customWidth="1" min="5" max="5"/>
    <col width="30" customWidth="1" min="6" max="6"/>
    <col width="40" customWidth="1" min="7" max="7"/>
    <col width="20" customWidth="1" min="8" max="8"/>
    <col width="14" customWidth="1" min="9" max="9"/>
    <col width="38" customWidth="1" min="10" max="10"/>
    <col width="14" customWidth="1" min="11" max="11"/>
  </cols>
  <sheetData>
    <row r="1">
      <c r="A1" s="1" t="inlineStr">
        <is>
          <t>Step</t>
        </is>
      </c>
      <c r="B1" s="1" t="inlineStr">
        <is>
          <t>Tool</t>
        </is>
      </c>
      <c r="C1" s="1" t="inlineStr">
        <is>
          <t>Purpose</t>
        </is>
      </c>
      <c r="D1" s="1" t="inlineStr">
        <is>
          <t>Command / Code</t>
        </is>
      </c>
      <c r="E1" s="1" t="inlineStr">
        <is>
          <t>Expected Output</t>
        </is>
      </c>
      <c r="F1" s="1" t="inlineStr">
        <is>
          <t>🧪 User Live Command</t>
        </is>
      </c>
      <c r="G1" s="1" t="inlineStr">
        <is>
          <t>🧾 Paste Your Result</t>
        </is>
      </c>
      <c r="H1" s="1" t="inlineStr">
        <is>
          <t>Numeric Check (optional)</t>
        </is>
      </c>
      <c r="I1" s="1" t="inlineStr">
        <is>
          <t>✅ Match (Y/N)</t>
        </is>
      </c>
      <c r="J1" s="1" t="inlineStr">
        <is>
          <t>Notes / Troubleshooting</t>
        </is>
      </c>
      <c r="K1" s="1" t="inlineStr">
        <is>
          <t>Auto Score</t>
        </is>
      </c>
    </row>
    <row r="2">
      <c r="A2" s="2" t="n">
        <v>1</v>
      </c>
      <c r="B2" s="2" t="inlineStr">
        <is>
          <t>Braket</t>
        </is>
      </c>
      <c r="C2" s="2" t="inlineStr">
        <is>
          <t>STS identity</t>
        </is>
      </c>
      <c r="D2" s="2" t="inlineStr">
        <is>
          <t>aws sts get-caller-identity</t>
        </is>
      </c>
      <c r="E2" s="2" t="inlineStr">
        <is>
          <t>Account/Arn/UserId printed</t>
        </is>
      </c>
      <c r="F2" s="2" t="inlineStr">
        <is>
          <t>aws sts get-caller-identity</t>
        </is>
      </c>
      <c r="G2" s="2" t="inlineStr"/>
      <c r="H2" s="2" t="inlineStr"/>
      <c r="I2" s="2" t="inlineStr"/>
      <c r="J2" s="2" t="inlineStr">
        <is>
          <t>Configure AWS if missing</t>
        </is>
      </c>
      <c r="K2" s="2">
        <f>IF(I2="Y","PASS",IF(I2="N","CHECK",""))</f>
        <v/>
      </c>
    </row>
    <row r="3">
      <c r="A3" s="2" t="n">
        <v>2</v>
      </c>
      <c r="B3" s="2" t="inlineStr">
        <is>
          <t>Braket</t>
        </is>
      </c>
      <c r="C3" s="2" t="inlineStr">
        <is>
          <t>SV1 device info (SDK)</t>
        </is>
      </c>
      <c r="D3" s="2" t="inlineStr">
        <is>
          <t>python - &lt;&lt;'PY'
from braket.aws import AwsDevice
sv1 = AwsDevice("arn:aws:braket:::device/quantum-simulator/amazon/sv1")
print(sv1.name, sv1.status)
PY</t>
        </is>
      </c>
      <c r="E3" s="2" t="inlineStr">
        <is>
          <t>Name/status printed</t>
        </is>
      </c>
      <c r="F3" s="2" t="inlineStr"/>
      <c r="G3" s="2" t="inlineStr"/>
      <c r="H3" s="2" t="inlineStr"/>
      <c r="I3" s="2" t="inlineStr"/>
      <c r="J3" s="2" t="inlineStr">
        <is>
          <t>Permissions required</t>
        </is>
      </c>
      <c r="K3" s="2">
        <f>IF(I3="Y","PASS",IF(I3="N","CHECK",""))</f>
        <v/>
      </c>
    </row>
    <row r="4">
      <c r="A4" s="2" t="n">
        <v>3</v>
      </c>
      <c r="B4" s="2" t="inlineStr">
        <is>
          <t>Braket</t>
        </is>
      </c>
      <c r="C4" s="2" t="inlineStr">
        <is>
          <t>Bell circuit counts</t>
        </is>
      </c>
      <c r="D4" s="2" t="inlineStr">
        <is>
          <t>python - &lt;&lt;'PY'
from braket.aws import AwsDevice
from braket.circuits import Circuit
sv1=AwsDevice("arn:aws:braket:::device/quantum-simulator/amazon/sv1")
res=sv1.run(Circuit().h(0).cnot(0,1), shots=1000).result()
print(res.measurement_counts)
PY</t>
        </is>
      </c>
      <c r="E4" s="2" t="inlineStr">
        <is>
          <t>Counts mostly in '00' and '11'</t>
        </is>
      </c>
      <c r="F4" s="2" t="inlineStr"/>
      <c r="G4" s="2" t="inlineStr"/>
      <c r="H4" s="2" t="inlineStr"/>
      <c r="I4" s="2" t="inlineStr"/>
      <c r="J4" s="2" t="inlineStr">
        <is>
          <t>Sum of counts ≈ 1000</t>
        </is>
      </c>
      <c r="K4" s="2">
        <f>IF(I4="Y","PASS",IF(I4="N","CHECK",""))</f>
        <v/>
      </c>
    </row>
  </sheetData>
  <dataValidations count="2">
    <dataValidation sqref="I2 I3 I4" showErrorMessage="1" showInputMessage="1" allowBlank="1" type="list">
      <formula1>"Y,N"</formula1>
    </dataValidation>
    <dataValidation sqref="B2 B3 B4" showErrorMessage="1" showInputMessage="1" allowBlank="1" type="list">
      <formula1>"PowerShell,Conda,Python,Psi4,Braket,VSCode,Hybrid"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48" customWidth="1" min="4" max="4"/>
    <col width="40" customWidth="1" min="5" max="5"/>
    <col width="30" customWidth="1" min="6" max="6"/>
    <col width="40" customWidth="1" min="7" max="7"/>
    <col width="20" customWidth="1" min="8" max="8"/>
    <col width="14" customWidth="1" min="9" max="9"/>
    <col width="38" customWidth="1" min="10" max="10"/>
    <col width="14" customWidth="1" min="11" max="11"/>
  </cols>
  <sheetData>
    <row r="1">
      <c r="A1" s="1" t="inlineStr">
        <is>
          <t>Step</t>
        </is>
      </c>
      <c r="B1" s="1" t="inlineStr">
        <is>
          <t>Tool</t>
        </is>
      </c>
      <c r="C1" s="1" t="inlineStr">
        <is>
          <t>Purpose</t>
        </is>
      </c>
      <c r="D1" s="1" t="inlineStr">
        <is>
          <t>Command / Code</t>
        </is>
      </c>
      <c r="E1" s="1" t="inlineStr">
        <is>
          <t>Expected Output</t>
        </is>
      </c>
      <c r="F1" s="1" t="inlineStr">
        <is>
          <t>🧪 User Live Command</t>
        </is>
      </c>
      <c r="G1" s="1" t="inlineStr">
        <is>
          <t>🧾 Paste Your Result</t>
        </is>
      </c>
      <c r="H1" s="1" t="inlineStr">
        <is>
          <t>Numeric Check (optional)</t>
        </is>
      </c>
      <c r="I1" s="1" t="inlineStr">
        <is>
          <t>✅ Match (Y/N)</t>
        </is>
      </c>
      <c r="J1" s="1" t="inlineStr">
        <is>
          <t>Notes / Troubleshooting</t>
        </is>
      </c>
      <c r="K1" s="1" t="inlineStr">
        <is>
          <t>Auto Score</t>
        </is>
      </c>
    </row>
    <row r="2">
      <c r="A2" s="2" t="n">
        <v>1</v>
      </c>
      <c r="B2" s="2" t="inlineStr">
        <is>
          <t>VSCode</t>
        </is>
      </c>
      <c r="C2" s="2" t="inlineStr">
        <is>
          <t>Open project</t>
        </is>
      </c>
      <c r="D2" s="2" t="inlineStr">
        <is>
          <t>code "$HOME/Desktop/QSMEC_Test"</t>
        </is>
      </c>
      <c r="E2" s="2" t="inlineStr">
        <is>
          <t>VS Code opens folder</t>
        </is>
      </c>
      <c r="F2" s="2" t="inlineStr"/>
      <c r="G2" s="2" t="inlineStr"/>
      <c r="H2" s="2" t="inlineStr"/>
      <c r="I2" s="2" t="inlineStr"/>
      <c r="J2" s="2" t="inlineStr">
        <is>
          <t>Install Python extension</t>
        </is>
      </c>
      <c r="K2" s="2">
        <f>IF(I2="Y","PASS",IF(I2="N","CHECK",""))</f>
        <v/>
      </c>
    </row>
    <row r="3">
      <c r="A3" s="2" t="n">
        <v>2</v>
      </c>
      <c r="B3" s="2" t="inlineStr">
        <is>
          <t>VSCode</t>
        </is>
      </c>
      <c r="C3" s="2" t="inlineStr">
        <is>
          <t>Interpreter</t>
        </is>
      </c>
      <c r="D3" s="2" t="inlineStr">
        <is>
          <t>Select qchem interpreter</t>
        </is>
      </c>
      <c r="E3" s="2" t="inlineStr">
        <is>
          <t>Python path shows /envs/qchem</t>
        </is>
      </c>
      <c r="F3" s="2" t="inlineStr"/>
      <c r="G3" s="2" t="inlineStr"/>
      <c r="H3" s="2" t="inlineStr"/>
      <c r="I3" s="2" t="inlineStr"/>
      <c r="J3" s="2" t="inlineStr">
        <is>
          <t>Shift+Cmd+P → Python: Select Interpreter</t>
        </is>
      </c>
      <c r="K3" s="2">
        <f>IF(I3="Y","PASS",IF(I3="N","CHECK",""))</f>
        <v/>
      </c>
    </row>
    <row r="4">
      <c r="A4" s="2" t="n">
        <v>3</v>
      </c>
      <c r="B4" s="2" t="inlineStr">
        <is>
          <t>VSCode</t>
        </is>
      </c>
      <c r="C4" s="2" t="inlineStr">
        <is>
          <t>Run script</t>
        </is>
      </c>
      <c r="D4" s="2" t="inlineStr">
        <is>
          <t>Run hello.py via ▶ or terminal</t>
        </is>
      </c>
      <c r="E4" s="2" t="inlineStr">
        <is>
          <t>hello quantum</t>
        </is>
      </c>
      <c r="F4" s="2" t="inlineStr"/>
      <c r="G4" s="2" t="inlineStr"/>
      <c r="H4" s="2" t="inlineStr"/>
      <c r="I4" s="2" t="inlineStr"/>
      <c r="J4" s="2" t="inlineStr">
        <is>
          <t>Terminal must show (qchem)</t>
        </is>
      </c>
      <c r="K4" s="2">
        <f>IF(I4="Y","PASS",IF(I4="N","CHECK",""))</f>
        <v/>
      </c>
    </row>
  </sheetData>
  <dataValidations count="2">
    <dataValidation sqref="I2 I3 I4" showErrorMessage="1" showInputMessage="1" allowBlank="1" type="list">
      <formula1>"Y,N"</formula1>
    </dataValidation>
    <dataValidation sqref="B2 B3 B4" showErrorMessage="1" showInputMessage="1" allowBlank="1" type="list">
      <formula1>"PowerShell,Conda,Python,Psi4,Braket,VSCode,Hybrid"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48" customWidth="1" min="4" max="4"/>
    <col width="40" customWidth="1" min="5" max="5"/>
    <col width="30" customWidth="1" min="6" max="6"/>
    <col width="40" customWidth="1" min="7" max="7"/>
    <col width="20" customWidth="1" min="8" max="8"/>
    <col width="14" customWidth="1" min="9" max="9"/>
    <col width="38" customWidth="1" min="10" max="10"/>
    <col width="14" customWidth="1" min="11" max="11"/>
  </cols>
  <sheetData>
    <row r="1">
      <c r="A1" s="1" t="inlineStr">
        <is>
          <t>Step</t>
        </is>
      </c>
      <c r="B1" s="1" t="inlineStr">
        <is>
          <t>Tool</t>
        </is>
      </c>
      <c r="C1" s="1" t="inlineStr">
        <is>
          <t>Purpose</t>
        </is>
      </c>
      <c r="D1" s="1" t="inlineStr">
        <is>
          <t>Command / Code</t>
        </is>
      </c>
      <c r="E1" s="1" t="inlineStr">
        <is>
          <t>Expected Output</t>
        </is>
      </c>
      <c r="F1" s="1" t="inlineStr">
        <is>
          <t>🧪 User Live Command</t>
        </is>
      </c>
      <c r="G1" s="1" t="inlineStr">
        <is>
          <t>🧾 Paste Your Result</t>
        </is>
      </c>
      <c r="H1" s="1" t="inlineStr">
        <is>
          <t>Numeric Check (optional)</t>
        </is>
      </c>
      <c r="I1" s="1" t="inlineStr">
        <is>
          <t>✅ Match (Y/N)</t>
        </is>
      </c>
      <c r="J1" s="1" t="inlineStr">
        <is>
          <t>Notes / Troubleshooting</t>
        </is>
      </c>
      <c r="K1" s="1" t="inlineStr">
        <is>
          <t>Auto Score</t>
        </is>
      </c>
    </row>
    <row r="2">
      <c r="A2" s="2" t="n">
        <v>1</v>
      </c>
      <c r="B2" s="2" t="inlineStr">
        <is>
          <t>Hybrid</t>
        </is>
      </c>
      <c r="C2" s="2" t="inlineStr">
        <is>
          <t>Psi4 ref + Braket counts</t>
        </is>
      </c>
      <c r="D2" s="2" t="inlineStr">
        <is>
          <t>python - &lt;&lt;'PY'
import psi4
from braket.aws import AwsDevice
from braket.circuits import Circuit
mol=psi4.geometry("He")
E=psi4.energy("scf/sto-3g", molecule=mol)
sv1=AwsDevice("arn:aws:braket:::device/quantum-simulator/amazon/sv1")
counts=sv1.run(Circuit().h(0).cnot(0,1), shots=1000).result().measurement_counts
print("E",E); print("counts",counts)
PY</t>
        </is>
      </c>
      <c r="E2" s="2" t="inlineStr">
        <is>
          <t>Energy printed; counts dict</t>
        </is>
      </c>
      <c r="F2" s="2" t="inlineStr"/>
      <c r="G2" s="2" t="inlineStr"/>
      <c r="H2" s="2" t="inlineStr"/>
      <c r="I2" s="2" t="inlineStr"/>
      <c r="J2" s="2" t="inlineStr">
        <is>
          <t>Use CSV logging for analysis</t>
        </is>
      </c>
      <c r="K2" s="2">
        <f>IF(I2="Y","PASS",IF(I2="N","CHECK",""))</f>
        <v/>
      </c>
    </row>
    <row r="3">
      <c r="A3" s="2" t="n">
        <v>2</v>
      </c>
      <c r="B3" s="2" t="inlineStr">
        <is>
          <t>Hybrid</t>
        </is>
      </c>
      <c r="C3" s="2" t="inlineStr">
        <is>
          <t>Parameter sweep</t>
        </is>
      </c>
      <c r="D3" s="2" t="inlineStr">
        <is>
          <t>python - &lt;&lt;'PY'
import psi4
from braket.aws import AwsDevice
from braket.circuits import Circuit
angles=[0.0,0.5,1.0]
sv1=AwsDevice("arn:aws:braket:::device/quantum-simulator/amazon/sv1")
for a in angles:
    mol=psi4.geometry("He")
    E=psi4.energy("scf/sto-3g", molecule=mol)
    counts=sv1.run(Circuit().ry(0,a).cnot(0,1), shots=500).result().measurement_counts
    print(a,E,counts)
PY</t>
        </is>
      </c>
      <c r="E3" s="2" t="inlineStr">
        <is>
          <t>Angle, energy, counts per row</t>
        </is>
      </c>
      <c r="F3" s="2" t="inlineStr"/>
      <c r="G3" s="2" t="inlineStr"/>
      <c r="H3" s="2" t="inlineStr"/>
      <c r="I3" s="2" t="inlineStr"/>
      <c r="J3" s="2" t="inlineStr">
        <is>
          <t>Adjust shots if rate-limited</t>
        </is>
      </c>
      <c r="K3" s="2">
        <f>IF(I3="Y","PASS",IF(I3="N","CHECK",""))</f>
        <v/>
      </c>
    </row>
    <row r="4">
      <c r="A4" s="2" t="n">
        <v>3</v>
      </c>
      <c r="B4" s="2" t="inlineStr">
        <is>
          <t>Hybrid</t>
        </is>
      </c>
      <c r="C4" s="2" t="inlineStr">
        <is>
          <t>Toy optimizer</t>
        </is>
      </c>
      <c r="D4" s="2" t="inlineStr">
        <is>
          <t>python - &lt;&lt;'PY'
import psi4,math,random
from braket.aws import AwsDevice
from braket.circuits import Circuit
sv1=AwsDevice("arn:aws:braket:::device/quantum-simulator/amazon/sv1")
theta=0.5
for step in range(3):
    E=psi4.energy("scf/sto-3g", molecule=psi4.geometry("He"))
    counts=sv1.run(Circuit().ry(0,theta).cnot(0,1), shots=300).result().measurement_counts
    theta=max(0.0,min(math.pi, theta+(random.random()-0.5)*0.2))
    print(step,theta,E,counts)
PY</t>
        </is>
      </c>
      <c r="E4" s="2" t="inlineStr">
        <is>
          <t>Step, theta, energy, counts</t>
        </is>
      </c>
      <c r="F4" s="2" t="inlineStr"/>
      <c r="G4" s="2" t="inlineStr"/>
      <c r="H4" s="2" t="inlineStr"/>
      <c r="I4" s="2" t="inlineStr"/>
      <c r="J4" s="2" t="inlineStr">
        <is>
          <t>Replace with real optimizer</t>
        </is>
      </c>
      <c r="K4" s="2">
        <f>IF(I4="Y","PASS",IF(I4="N","CHECK",""))</f>
        <v/>
      </c>
    </row>
  </sheetData>
  <dataValidations count="2">
    <dataValidation sqref="I2 I3 I4" showErrorMessage="1" showInputMessage="1" allowBlank="1" type="list">
      <formula1>"Y,N"</formula1>
    </dataValidation>
    <dataValidation sqref="B2 B3 B4" showErrorMessage="1" showInputMessage="1" allowBlank="1" type="list">
      <formula1>"PowerShell,Conda,Python,Psi4,Braket,VSCode,Hybrid"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60" customWidth="1" min="3" max="3"/>
    <col width="38" customWidth="1" min="4" max="4"/>
    <col width="38" customWidth="1" min="5" max="5"/>
    <col width="44" customWidth="1" min="6" max="6"/>
    <col width="20" customWidth="1" min="7" max="7"/>
    <col width="36" customWidth="1" min="8" max="8"/>
  </cols>
  <sheetData>
    <row r="1">
      <c r="A1" s="1" t="inlineStr">
        <is>
          <t>Area</t>
        </is>
      </c>
      <c r="B1" s="1" t="inlineStr">
        <is>
          <t>Task</t>
        </is>
      </c>
      <c r="C1" s="1" t="inlineStr">
        <is>
          <t>Detailed Instructions</t>
        </is>
      </c>
      <c r="D1" s="1" t="inlineStr">
        <is>
          <t>Expected Output Pattern</t>
        </is>
      </c>
      <c r="E1" s="1" t="inlineStr">
        <is>
          <t>Your Commands</t>
        </is>
      </c>
      <c r="F1" s="1" t="inlineStr">
        <is>
          <t>Your Output</t>
        </is>
      </c>
      <c r="G1" s="1" t="inlineStr">
        <is>
          <t>Self-Assessment (Y/N)</t>
        </is>
      </c>
      <c r="H1" s="1" t="inlineStr">
        <is>
          <t>Notes</t>
        </is>
      </c>
    </row>
    <row r="2">
      <c r="A2" s="2" t="inlineStr">
        <is>
          <t>End-to-end</t>
        </is>
      </c>
      <c r="B2" s="2" t="inlineStr">
        <is>
          <t>Local → Cloud → Hybrid</t>
        </is>
      </c>
      <c r="C2" s="2" t="inlineStr">
        <is>
          <t>1) Create project
2) Run Psi4 He energy
3) Submit Bell circuit to SV1
4) Save CSV with energy+counts
5) Summarize results in notes</t>
        </is>
      </c>
      <c r="D2" s="2" t="inlineStr">
        <is>
          <t>E ≈ -2.808 Hartree; counts with 00/11 dominant</t>
        </is>
      </c>
      <c r="E2" s="2" t="inlineStr"/>
      <c r="F2" s="2" t="inlineStr"/>
      <c r="G2" s="2" t="inlineStr"/>
      <c r="H2" s="2" t="inlineStr"/>
    </row>
    <row r="3">
      <c r="A3" s="2" t="inlineStr">
        <is>
          <t>Reproducibility</t>
        </is>
      </c>
      <c r="B3" s="2" t="inlineStr">
        <is>
          <t>Export env &amp; rerun</t>
        </is>
      </c>
      <c r="C3" s="2" t="inlineStr">
        <is>
          <t>1) Export conda env
2) Recreate on another machine/user
3) Rerun both jobs</t>
        </is>
      </c>
      <c r="D3" s="2" t="inlineStr">
        <is>
          <t>Same major versions; similar energies/counts</t>
        </is>
      </c>
      <c r="E3" s="2" t="inlineStr"/>
      <c r="F3" s="2" t="inlineStr"/>
      <c r="G3" s="2" t="inlineStr"/>
      <c r="H3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22" customWidth="1" min="4" max="4"/>
    <col width="22" customWidth="1" min="5" max="5"/>
    <col width="12" customWidth="1" min="6" max="6"/>
    <col width="14" customWidth="1" min="7" max="7"/>
  </cols>
  <sheetData>
    <row r="1">
      <c r="A1" s="1" t="inlineStr">
        <is>
          <t>Sheet</t>
        </is>
      </c>
      <c r="B1" s="1" t="inlineStr">
        <is>
          <t>Row</t>
        </is>
      </c>
      <c r="C1" s="1" t="inlineStr">
        <is>
          <t>Check Type</t>
        </is>
      </c>
      <c r="D1" s="1" t="inlineStr">
        <is>
          <t>Expected (numeric)</t>
        </is>
      </c>
      <c r="E1" s="1" t="inlineStr">
        <is>
          <t>User Value (numeric)</t>
        </is>
      </c>
      <c r="F1" s="1" t="inlineStr">
        <is>
          <t>Tolerance</t>
        </is>
      </c>
      <c r="G1" s="1" t="inlineStr">
        <is>
          <t>Auto Result</t>
        </is>
      </c>
    </row>
    <row r="2">
      <c r="A2" s="2" t="inlineStr">
        <is>
          <t>Psi4_Tests</t>
        </is>
      </c>
      <c r="B2" s="2" t="n">
        <v>2</v>
      </c>
      <c r="C2" s="2" t="inlineStr">
        <is>
          <t>ABS_DIFF</t>
        </is>
      </c>
      <c r="D2" s="2" t="n">
        <v>-2.8079133545</v>
      </c>
      <c r="E2" s="2" t="inlineStr"/>
      <c r="F2" s="2" t="n">
        <v>0.001</v>
      </c>
      <c r="G2" s="2">
        <f>IF(AND(ISNUMBER(E2),ABS(E2-D2)&lt;=F2),"PASS","CHECK")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4" customWidth="1" min="4" max="4"/>
    <col width="40" customWidth="1" min="5" max="5"/>
  </cols>
  <sheetData>
    <row r="1">
      <c r="A1" s="1" t="inlineStr">
        <is>
          <t>Area</t>
        </is>
      </c>
      <c r="B1" s="1" t="inlineStr">
        <is>
          <t>Total Tests</t>
        </is>
      </c>
      <c r="C1" s="1" t="inlineStr">
        <is>
          <t>Marked PASS</t>
        </is>
      </c>
      <c r="D1" s="1" t="inlineStr">
        <is>
          <t>Completion %</t>
        </is>
      </c>
      <c r="E1" s="1" t="inlineStr">
        <is>
          <t>Notes</t>
        </is>
      </c>
    </row>
    <row r="2">
      <c r="A2" s="2" t="inlineStr">
        <is>
          <t>All Sheets</t>
        </is>
      </c>
      <c r="B2" s="2">
        <f>COUNTA(PowerShell_Tests!A2:A1048576) + COUNTA(Conda_Tests!A2:A1048576) + COUNTA(Python_Tests!A2:A1048576) + COUNTA(Psi4_Tests!A2:A1048576) + COUNTA(Braket_Tests!A2:A1048576) + COUNTA(VSCode_Tests!A2:A1048576) + COUNTA(Hybrid_Tests!A2:A1048576)</f>
        <v/>
      </c>
      <c r="C2" s="2">
        <f>COUNTIF(PowerShell_Tests!I2:I1048576,"Y") + COUNTIF(Conda_Tests!I2:I1048576,"Y") + COUNTIF(Python_Tests!I2:I1048576,"Y") + COUNTIF(Psi4_Tests!I2:I1048576,"Y") + COUNTIF(Braket_Tests!I2:I1048576,"Y") + COUNTIF(VSCode_Tests!I2:I1048576,"Y") + COUNTIF(Hybrid_Tests!I2:I1048576,"Y")</f>
        <v/>
      </c>
      <c r="D2" s="2">
        <f>IF(B2&gt;0, C2/B2, "")</f>
        <v/>
      </c>
      <c r="E2" s="2" t="inlineStr">
        <is>
          <t>Counts below auto-calc from per-sheet PASS markers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2025-10-18T00:22:28Z</dcterms:created>
  <dcterms:modified xmlns:dcterms="http://purl.org/dc/terms/" xmlns:xsi="http://www.w3.org/2001/XMLSchema-instance" xsi:type="dcterms:W3CDTF">2025-10-18T00:22:28Z</dcterms:modified>
</cp:coreProperties>
</file>