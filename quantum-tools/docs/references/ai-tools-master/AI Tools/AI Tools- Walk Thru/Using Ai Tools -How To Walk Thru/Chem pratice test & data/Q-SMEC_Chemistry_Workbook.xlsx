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tomic_Molecular_Library" sheetId="2" state="visible" r:id="rId2"/>
    <sheet xmlns:r="http://schemas.openxmlformats.org/officeDocument/2006/relationships" name="Geometry_Inputs" sheetId="3" state="visible" r:id="rId3"/>
    <sheet xmlns:r="http://schemas.openxmlformats.org/officeDocument/2006/relationships" name="Basis_Functional_Sweep" sheetId="4" state="visible" r:id="rId4"/>
    <sheet xmlns:r="http://schemas.openxmlformats.org/officeDocument/2006/relationships" name="Bond_Scan_PES" sheetId="5" state="visible" r:id="rId5"/>
    <sheet xmlns:r="http://schemas.openxmlformats.org/officeDocument/2006/relationships" name="Composition_Matrix" sheetId="6" state="visible" r:id="rId6"/>
    <sheet xmlns:r="http://schemas.openxmlformats.org/officeDocument/2006/relationships" name="Vibrational_IR" sheetId="7" state="visible" r:id="rId7"/>
    <sheet xmlns:r="http://schemas.openxmlformats.org/officeDocument/2006/relationships" name="Property_Dashboard" sheetId="8" state="visible" r:id="rId8"/>
    <sheet xmlns:r="http://schemas.openxmlformats.org/officeDocument/2006/relationships" name="Quantum_Linkage" sheetId="9" state="visible" r:id="rId9"/>
    <sheet xmlns:r="http://schemas.openxmlformats.org/officeDocument/2006/relationships" name="Instructor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H2 Potential Energy Curve</a:t>
            </a:r>
          </a:p>
        </rich>
      </tx>
    </title>
    <plotArea>
      <lineChart>
        <grouping val="standard"/>
        <ser>
          <idx val="0"/>
          <order val="0"/>
          <tx>
            <strRef>
              <f>'Bond_Scan_PES'!C1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'Bond_Scan_PES'!$B$2:$B$6</f>
            </numRef>
          </cat>
          <val>
            <numRef>
              <f>'Bond_Scan_PES'!$C$2:$C$6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Bond length R (Å)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(Hartree)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tomic_Molecular_Library!A1" TargetMode="External" Id="rId1"/><Relationship Type="http://schemas.openxmlformats.org/officeDocument/2006/relationships/hyperlink" Target="#Geometry_Inputs!A1" TargetMode="External" Id="rId2"/><Relationship Type="http://schemas.openxmlformats.org/officeDocument/2006/relationships/hyperlink" Target="#Basis_Functional_Sweep!A1" TargetMode="External" Id="rId3"/><Relationship Type="http://schemas.openxmlformats.org/officeDocument/2006/relationships/hyperlink" Target="#Bond_Scan_PES!A1" TargetMode="External" Id="rId4"/><Relationship Type="http://schemas.openxmlformats.org/officeDocument/2006/relationships/hyperlink" Target="#Composition_Matrix!A1" TargetMode="External" Id="rId5"/><Relationship Type="http://schemas.openxmlformats.org/officeDocument/2006/relationships/hyperlink" Target="#Vibrational_IR!A1" TargetMode="External" Id="rId6"/><Relationship Type="http://schemas.openxmlformats.org/officeDocument/2006/relationships/hyperlink" Target="#Property_Dashboard!A1" TargetMode="External" Id="rId7"/><Relationship Type="http://schemas.openxmlformats.org/officeDocument/2006/relationships/hyperlink" Target="#Quantum_Linkage!A1" TargetMode="External" Id="rId8"/><Relationship Type="http://schemas.openxmlformats.org/officeDocument/2006/relationships/hyperlink" Target="#Instructor_Validation!A1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4" customWidth="1" min="2" max="2"/>
    <col width="26" customWidth="1" min="3" max="3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Go</t>
        </is>
      </c>
    </row>
    <row r="2">
      <c r="A2" s="2" t="inlineStr">
        <is>
          <t>Atomic &amp; Molecular Library</t>
        </is>
      </c>
      <c r="B2" s="2" t="inlineStr">
        <is>
          <t>Elements, oxidation, reference energies</t>
        </is>
      </c>
      <c r="C2" s="3" t="inlineStr">
        <is>
          <t>→ Atomic_Molecular_Library</t>
        </is>
      </c>
    </row>
    <row r="3">
      <c r="A3" s="2" t="inlineStr">
        <is>
          <t>Geometry Inputs</t>
        </is>
      </c>
      <c r="B3" s="2" t="inlineStr">
        <is>
          <t>Psi4/Gaussian-style blocks + expected energies</t>
        </is>
      </c>
      <c r="C3" s="3" t="inlineStr">
        <is>
          <t>→ Geometry_Inputs</t>
        </is>
      </c>
    </row>
    <row r="4">
      <c r="A4" s="2" t="inlineStr">
        <is>
          <t>Basis &amp; Functional Sweep</t>
        </is>
      </c>
      <c r="B4" s="2" t="inlineStr">
        <is>
          <t>Compare basis sets and functionals</t>
        </is>
      </c>
      <c r="C4" s="3" t="inlineStr">
        <is>
          <t>→ Basis_Functional_Sweep</t>
        </is>
      </c>
    </row>
    <row r="5">
      <c r="A5" s="2" t="inlineStr">
        <is>
          <t>Bond Scan / PES</t>
        </is>
      </c>
      <c r="B5" s="2" t="inlineStr">
        <is>
          <t>R vs Energy with derivatives</t>
        </is>
      </c>
      <c r="C5" s="3" t="inlineStr">
        <is>
          <t>→ Bond_Scan_PES</t>
        </is>
      </c>
    </row>
    <row r="6">
      <c r="A6" s="2" t="inlineStr">
        <is>
          <t>Composition Matrix</t>
        </is>
      </c>
      <c r="B6" s="2" t="inlineStr">
        <is>
          <t>Alloys, phases, target properties</t>
        </is>
      </c>
      <c r="C6" s="3" t="inlineStr">
        <is>
          <t>→ Composition_Matrix</t>
        </is>
      </c>
    </row>
    <row r="7">
      <c r="A7" s="2" t="inlineStr">
        <is>
          <t>Vibrational / IR</t>
        </is>
      </c>
      <c r="B7" s="2" t="inlineStr">
        <is>
          <t>Frequencies, intensities, assignments</t>
        </is>
      </c>
      <c r="C7" s="3" t="inlineStr">
        <is>
          <t>→ Vibrational_IR</t>
        </is>
      </c>
    </row>
    <row r="8">
      <c r="A8" s="2" t="inlineStr">
        <is>
          <t>Property Dashboard</t>
        </is>
      </c>
      <c r="B8" s="2" t="inlineStr">
        <is>
          <t>Auto charts from data tables</t>
        </is>
      </c>
      <c r="C8" s="3" t="inlineStr">
        <is>
          <t>→ Property_Dashboard</t>
        </is>
      </c>
    </row>
    <row r="9">
      <c r="A9" s="2" t="inlineStr">
        <is>
          <t>Quantum Linkage</t>
        </is>
      </c>
      <c r="B9" s="2" t="inlineStr">
        <is>
          <t>Map chemistry results to quantum params</t>
        </is>
      </c>
      <c r="C9" s="3" t="inlineStr">
        <is>
          <t>→ Quantum_Linkage</t>
        </is>
      </c>
    </row>
    <row r="10">
      <c r="A10" s="2" t="inlineStr">
        <is>
          <t>Instructor / Validation</t>
        </is>
      </c>
      <c r="B10" s="2" t="inlineStr">
        <is>
          <t>Auto-checks and tolerances</t>
        </is>
      </c>
      <c r="C10" s="3" t="inlineStr">
        <is>
          <t>→ Instructor_Validation</t>
        </is>
      </c>
    </row>
    <row r="11">
      <c r="A11" s="2" t="inlineStr">
        <is>
          <t>About</t>
        </is>
      </c>
      <c r="B11" s="2" t="inlineStr">
        <is>
          <t>Generated 2025-10-18 00:41</t>
        </is>
      </c>
      <c r="C11" s="2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22" customWidth="1" min="4" max="4"/>
    <col width="26" customWidth="1" min="5" max="5"/>
    <col width="22" customWidth="1" min="6" max="6"/>
    <col width="40" customWidth="1" min="7" max="7"/>
  </cols>
  <sheetData>
    <row r="1">
      <c r="A1" s="1" t="inlineStr">
        <is>
          <t>Element</t>
        </is>
      </c>
      <c r="B1" s="1" t="inlineStr">
        <is>
          <t>Symbol</t>
        </is>
      </c>
      <c r="C1" s="1" t="inlineStr">
        <is>
          <t>Z</t>
        </is>
      </c>
      <c r="D1" s="1" t="inlineStr">
        <is>
          <t>Common Ox. States</t>
        </is>
      </c>
      <c r="E1" s="1" t="inlineStr">
        <is>
          <t>Role</t>
        </is>
      </c>
      <c r="F1" s="1" t="inlineStr">
        <is>
          <t>Ref Energy (Hartree)</t>
        </is>
      </c>
      <c r="G1" s="1" t="inlineStr">
        <is>
          <t>Notes</t>
        </is>
      </c>
    </row>
    <row r="2">
      <c r="A2" s="2" t="inlineStr">
        <is>
          <t>Germanium</t>
        </is>
      </c>
      <c r="B2" s="2" t="inlineStr">
        <is>
          <t>Ge</t>
        </is>
      </c>
      <c r="C2" s="2" t="n">
        <v>32</v>
      </c>
      <c r="D2" s="2" t="inlineStr">
        <is>
          <t>+4</t>
        </is>
      </c>
      <c r="E2" s="2" t="inlineStr">
        <is>
          <t>Phase-change core</t>
        </is>
      </c>
      <c r="F2" s="2" t="inlineStr">
        <is>
          <t>-2075.367</t>
        </is>
      </c>
      <c r="G2" s="2" t="inlineStr">
        <is>
          <t>Baseline DFT ref</t>
        </is>
      </c>
    </row>
    <row r="3">
      <c r="A3" s="2" t="inlineStr">
        <is>
          <t>Gallium</t>
        </is>
      </c>
      <c r="B3" s="2" t="inlineStr">
        <is>
          <t>Ga</t>
        </is>
      </c>
      <c r="C3" s="2" t="n">
        <v>31</v>
      </c>
      <c r="D3" s="2" t="inlineStr">
        <is>
          <t>+3</t>
        </is>
      </c>
      <c r="E3" s="2" t="inlineStr">
        <is>
          <t>doping/alloy</t>
        </is>
      </c>
      <c r="F3" s="2" t="inlineStr">
        <is>
          <t>-2563.456</t>
        </is>
      </c>
      <c r="G3" s="2" t="inlineStr"/>
    </row>
    <row r="4">
      <c r="A4" s="2" t="inlineStr">
        <is>
          <t>Antimony</t>
        </is>
      </c>
      <c r="B4" s="2" t="inlineStr">
        <is>
          <t>Sb</t>
        </is>
      </c>
      <c r="C4" s="2" t="n">
        <v>51</v>
      </c>
      <c r="D4" s="2" t="inlineStr">
        <is>
          <t>+3,+5</t>
        </is>
      </c>
      <c r="E4" s="2" t="inlineStr">
        <is>
          <t>Alloy stabilizer</t>
        </is>
      </c>
      <c r="F4" s="2" t="inlineStr">
        <is>
          <t>-6485.112</t>
        </is>
      </c>
      <c r="G4" s="2" t="inlineStr"/>
    </row>
    <row r="5">
      <c r="A5" s="2" t="inlineStr">
        <is>
          <t>Tellurium</t>
        </is>
      </c>
      <c r="B5" s="2" t="inlineStr">
        <is>
          <t>Te</t>
        </is>
      </c>
      <c r="C5" s="2" t="n">
        <v>52</v>
      </c>
      <c r="D5" s="2" t="inlineStr">
        <is>
          <t>-2,+4,+6</t>
        </is>
      </c>
      <c r="E5" s="2" t="inlineStr">
        <is>
          <t>Thermal conductor</t>
        </is>
      </c>
      <c r="F5" s="2" t="inlineStr">
        <is>
          <t>-6612.223</t>
        </is>
      </c>
      <c r="G5" s="2" t="inlineStr"/>
    </row>
    <row r="6">
      <c r="A6" s="2" t="inlineStr">
        <is>
          <t>Selenium</t>
        </is>
      </c>
      <c r="B6" s="2" t="inlineStr">
        <is>
          <t>Se</t>
        </is>
      </c>
      <c r="C6" s="2" t="n">
        <v>34</v>
      </c>
      <c r="D6" s="2" t="inlineStr">
        <is>
          <t>-2,+4,+6</t>
        </is>
      </c>
      <c r="E6" s="2" t="inlineStr">
        <is>
          <t>Chalcogen</t>
        </is>
      </c>
      <c r="F6" s="2" t="inlineStr">
        <is>
          <t>-2394.151</t>
        </is>
      </c>
      <c r="G6" s="2" t="inlineStr"/>
    </row>
    <row r="7">
      <c r="A7" s="2" t="inlineStr">
        <is>
          <t>Aluminum</t>
        </is>
      </c>
      <c r="B7" s="2" t="inlineStr">
        <is>
          <t>Al</t>
        </is>
      </c>
      <c r="C7" s="2" t="n">
        <v>13</v>
      </c>
      <c r="D7" s="2" t="inlineStr">
        <is>
          <t>+3</t>
        </is>
      </c>
      <c r="E7" s="2" t="inlineStr">
        <is>
          <t>Contact/seed</t>
        </is>
      </c>
      <c r="F7" s="2" t="inlineStr">
        <is>
          <t>-241.985</t>
        </is>
      </c>
      <c r="G7" s="2" t="inlineStr"/>
    </row>
    <row r="8">
      <c r="A8" s="2" t="inlineStr">
        <is>
          <t>Niobium</t>
        </is>
      </c>
      <c r="B8" s="2" t="inlineStr">
        <is>
          <t>Nb</t>
        </is>
      </c>
      <c r="C8" s="2" t="n">
        <v>41</v>
      </c>
      <c r="D8" s="2" t="inlineStr">
        <is>
          <t>+3,+5</t>
        </is>
      </c>
      <c r="E8" s="2" t="inlineStr">
        <is>
          <t>Superconducting dopant</t>
        </is>
      </c>
      <c r="F8" s="2" t="inlineStr">
        <is>
          <t>-3756.123</t>
        </is>
      </c>
      <c r="G8" s="2" t="inlineStr"/>
    </row>
    <row r="9">
      <c r="A9" s="2" t="inlineStr">
        <is>
          <t>Nitrogen</t>
        </is>
      </c>
      <c r="B9" s="2" t="inlineStr">
        <is>
          <t>N</t>
        </is>
      </c>
      <c r="C9" s="2" t="n">
        <v>7</v>
      </c>
      <c r="D9" s="2" t="inlineStr">
        <is>
          <t>-3,+5</t>
        </is>
      </c>
      <c r="E9" s="2" t="inlineStr">
        <is>
          <t>Anion/ligand</t>
        </is>
      </c>
      <c r="F9" s="2" t="inlineStr">
        <is>
          <t>-54.589</t>
        </is>
      </c>
      <c r="G9" s="2" t="inlineStr"/>
    </row>
    <row r="10">
      <c r="A10" s="2" t="inlineStr">
        <is>
          <t>Tin</t>
        </is>
      </c>
      <c r="B10" s="2" t="inlineStr">
        <is>
          <t>Sn</t>
        </is>
      </c>
      <c r="C10" s="2" t="n">
        <v>50</v>
      </c>
      <c r="D10" s="2" t="inlineStr">
        <is>
          <t>+2,+4</t>
        </is>
      </c>
      <c r="E10" s="2" t="inlineStr">
        <is>
          <t>Alloy modifier</t>
        </is>
      </c>
      <c r="F10" s="2" t="inlineStr">
        <is>
          <t>-6066.702</t>
        </is>
      </c>
      <c r="G10" s="2" t="inlineStr"/>
    </row>
    <row r="11">
      <c r="A11" s="2" t="inlineStr">
        <is>
          <t>Titanium</t>
        </is>
      </c>
      <c r="B11" s="2" t="inlineStr">
        <is>
          <t>Ti</t>
        </is>
      </c>
      <c r="C11" s="2" t="n">
        <v>22</v>
      </c>
      <c r="D11" s="2" t="inlineStr">
        <is>
          <t>+2,+4</t>
        </is>
      </c>
      <c r="E11" s="2" t="inlineStr">
        <is>
          <t>Adhesion/oxide</t>
        </is>
      </c>
      <c r="F11" s="2" t="inlineStr">
        <is>
          <t>-848.401</t>
        </is>
      </c>
      <c r="G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2" customWidth="1" min="3" max="3"/>
    <col width="14" customWidth="1" min="4" max="4"/>
    <col width="22" customWidth="1" min="5" max="5"/>
    <col width="18" customWidth="1" min="6" max="6"/>
    <col width="10" customWidth="1" min="7" max="7"/>
    <col width="8" customWidth="1" min="8" max="8"/>
    <col width="28" customWidth="1" min="9" max="9"/>
  </cols>
  <sheetData>
    <row r="1">
      <c r="A1" s="1" t="inlineStr">
        <is>
          <t>Molecule</t>
        </is>
      </c>
      <c r="B1" s="1" t="inlineStr">
        <is>
          <t>Input Template (Psi4)</t>
        </is>
      </c>
      <c r="C1" s="1" t="inlineStr">
        <is>
          <t>Method</t>
        </is>
      </c>
      <c r="D1" s="1" t="inlineStr">
        <is>
          <t>Basis</t>
        </is>
      </c>
      <c r="E1" s="1" t="inlineStr">
        <is>
          <t>Expected E (Hartree)</t>
        </is>
      </c>
      <c r="F1" s="1" t="inlineStr">
        <is>
          <t>User Result</t>
        </is>
      </c>
      <c r="G1" s="1" t="inlineStr">
        <is>
          <t>ΔE</t>
        </is>
      </c>
      <c r="H1" s="1" t="inlineStr">
        <is>
          <t>✅</t>
        </is>
      </c>
      <c r="I1" s="1" t="inlineStr">
        <is>
          <t>Comment</t>
        </is>
      </c>
    </row>
    <row r="2">
      <c r="A2" s="2" t="inlineStr">
        <is>
          <t>He</t>
        </is>
      </c>
      <c r="B2" s="2" t="inlineStr">
        <is>
          <t>molecule { He }</t>
        </is>
      </c>
      <c r="C2" s="2" t="inlineStr">
        <is>
          <t>scf</t>
        </is>
      </c>
      <c r="D2" s="2" t="inlineStr">
        <is>
          <t>sto-3g</t>
        </is>
      </c>
      <c r="E2" s="2" t="inlineStr">
        <is>
          <t>-2.8079</t>
        </is>
      </c>
      <c r="F2" s="2" t="inlineStr"/>
      <c r="G2" s="2">
        <f>IF(F2&lt;&gt;"",F2-E2,"")</f>
        <v/>
      </c>
      <c r="H2" s="2">
        <f>IF(AND(ISNUMBER(G2),ABS(G2)&lt;0.001),"PASS","CHECK")</f>
        <v/>
      </c>
      <c r="I2" s="2" t="inlineStr">
        <is>
          <t>Baseline</t>
        </is>
      </c>
    </row>
    <row r="3">
      <c r="A3" s="2" t="inlineStr">
        <is>
          <t>H2</t>
        </is>
      </c>
      <c r="B3" s="2" t="inlineStr">
        <is>
          <t>molecule { H
H 1 0.74 }</t>
        </is>
      </c>
      <c r="C3" s="2" t="inlineStr">
        <is>
          <t>hf</t>
        </is>
      </c>
      <c r="D3" s="2" t="inlineStr">
        <is>
          <t>6-31g*</t>
        </is>
      </c>
      <c r="E3" s="2" t="inlineStr">
        <is>
          <t>-1.1310</t>
        </is>
      </c>
      <c r="F3" s="2" t="inlineStr"/>
      <c r="G3" s="2">
        <f>IF(F3&lt;&gt;"",F3-E3,"")</f>
        <v/>
      </c>
      <c r="H3" s="2">
        <f>IF(AND(ISNUMBER(G3),ABS(G3)&lt;0.003),"PASS","CHECK")</f>
        <v/>
      </c>
      <c r="I3" s="2" t="inlineStr">
        <is>
          <t>Equilibrium ~0.74 Å</t>
        </is>
      </c>
    </row>
    <row r="4">
      <c r="A4" s="2" t="inlineStr">
        <is>
          <t>H2O</t>
        </is>
      </c>
      <c r="B4" s="2" t="inlineStr">
        <is>
          <t>molecule { 0 1
O
H 1 0.96
H 1 0.96 2 104.5 }</t>
        </is>
      </c>
      <c r="C4" s="2" t="inlineStr">
        <is>
          <t>b3lyp</t>
        </is>
      </c>
      <c r="D4" s="2" t="inlineStr">
        <is>
          <t>6-31g*</t>
        </is>
      </c>
      <c r="E4" s="2" t="inlineStr">
        <is>
          <t>-76.3</t>
        </is>
      </c>
      <c r="F4" s="2" t="inlineStr"/>
      <c r="G4" s="2">
        <f>IF(F4&lt;&gt;"",F4-E4,"")</f>
        <v/>
      </c>
      <c r="H4" s="2">
        <f>IF(AND(ISNUMBER(G4),ABS(G4)&lt;0.05),"PASS","CHECK")</f>
        <v/>
      </c>
      <c r="I4" s="2" t="inlineStr">
        <is>
          <t>Approx ref</t>
        </is>
      </c>
    </row>
    <row r="5">
      <c r="A5" s="2" t="inlineStr">
        <is>
          <t>GeSbTe</t>
        </is>
      </c>
      <c r="B5" s="2" t="inlineStr">
        <is>
          <t>molecule { Ge
Sb 1 2.80
Te 1 2.80 2 120.0 }</t>
        </is>
      </c>
      <c r="C5" s="2" t="inlineStr">
        <is>
          <t>pbe</t>
        </is>
      </c>
      <c r="D5" s="2" t="inlineStr">
        <is>
          <t>def2-svp</t>
        </is>
      </c>
      <c r="E5" s="2" t="inlineStr">
        <is>
          <t>-11324.5</t>
        </is>
      </c>
      <c r="F5" s="2" t="inlineStr"/>
      <c r="G5" s="2">
        <f>IF(F5&lt;&gt;"",F5-E5,"")</f>
        <v/>
      </c>
      <c r="H5" s="2">
        <f>IF(AND(ISNUMBER(G5),ABS(G5)&lt;5.0),"PASS","CHECK")</f>
        <v/>
      </c>
      <c r="I5" s="2" t="inlineStr">
        <is>
          <t>Alloy mock 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Molecule</t>
        </is>
      </c>
      <c r="B1" s="1" t="inlineStr">
        <is>
          <t>Basis</t>
        </is>
      </c>
      <c r="C1" s="1" t="inlineStr">
        <is>
          <t>Functional</t>
        </is>
      </c>
      <c r="D1" s="1" t="inlineStr">
        <is>
          <t>E_total</t>
        </is>
      </c>
      <c r="E1" s="1" t="inlineStr">
        <is>
          <t>ΔE vs Ref</t>
        </is>
      </c>
      <c r="F1" s="1" t="inlineStr">
        <is>
          <t>Notes</t>
        </is>
      </c>
    </row>
    <row r="2">
      <c r="A2" s="2" t="inlineStr">
        <is>
          <t>H2</t>
        </is>
      </c>
      <c r="B2" s="2" t="inlineStr">
        <is>
          <t>sto-3g</t>
        </is>
      </c>
      <c r="C2" s="2" t="inlineStr">
        <is>
          <t>hf</t>
        </is>
      </c>
      <c r="D2" s="2" t="inlineStr">
        <is>
          <t>-1.117</t>
        </is>
      </c>
      <c r="E2" s="2">
        <f>D2 - (-1.131)</f>
        <v/>
      </c>
      <c r="F2" s="2" t="inlineStr">
        <is>
          <t>Coarse</t>
        </is>
      </c>
    </row>
    <row r="3">
      <c r="A3" s="2" t="inlineStr">
        <is>
          <t>H2</t>
        </is>
      </c>
      <c r="B3" s="2" t="inlineStr">
        <is>
          <t>6-31g*</t>
        </is>
      </c>
      <c r="C3" s="2" t="inlineStr">
        <is>
          <t>hf</t>
        </is>
      </c>
      <c r="D3" s="2" t="inlineStr">
        <is>
          <t>-1.131</t>
        </is>
      </c>
      <c r="E3" s="2">
        <f>D3 - (-1.131)</f>
        <v/>
      </c>
      <c r="F3" s="2" t="inlineStr">
        <is>
          <t>Reference</t>
        </is>
      </c>
    </row>
    <row r="4">
      <c r="A4" s="2" t="inlineStr">
        <is>
          <t>H2</t>
        </is>
      </c>
      <c r="B4" s="2" t="inlineStr">
        <is>
          <t>6-311++g**</t>
        </is>
      </c>
      <c r="C4" s="2" t="inlineStr">
        <is>
          <t>b3lyp</t>
        </is>
      </c>
      <c r="D4" s="2" t="inlineStr">
        <is>
          <t>-1.164</t>
        </is>
      </c>
      <c r="E4" s="2">
        <f>D4 - (-1.131)</f>
        <v/>
      </c>
      <c r="F4" s="2" t="inlineStr">
        <is>
          <t>More correlation</t>
        </is>
      </c>
    </row>
    <row r="5">
      <c r="A5" s="2" t="inlineStr">
        <is>
          <t>H2O</t>
        </is>
      </c>
      <c r="B5" s="2" t="inlineStr">
        <is>
          <t>6-31g*</t>
        </is>
      </c>
      <c r="C5" s="2" t="inlineStr">
        <is>
          <t>b3lyp</t>
        </is>
      </c>
      <c r="D5" s="2" t="inlineStr">
        <is>
          <t>-76.35</t>
        </is>
      </c>
      <c r="E5" s="2">
        <f>D5 - (-76.30)</f>
        <v/>
      </c>
      <c r="F5" s="2" t="inlineStr"/>
    </row>
    <row r="6">
      <c r="A6" s="2" t="inlineStr">
        <is>
          <t>H2O</t>
        </is>
      </c>
      <c r="B6" s="2" t="inlineStr">
        <is>
          <t>def2-svp</t>
        </is>
      </c>
      <c r="C6" s="2" t="inlineStr">
        <is>
          <t>pbe</t>
        </is>
      </c>
      <c r="D6" s="2" t="inlineStr">
        <is>
          <t>-76.20</t>
        </is>
      </c>
      <c r="E6" s="2">
        <f>D6 - (-76.30)</f>
        <v/>
      </c>
      <c r="F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Molecule</t>
        </is>
      </c>
      <c r="B1" s="1" t="inlineStr">
        <is>
          <t>R (Å)</t>
        </is>
      </c>
      <c r="C1" s="1" t="inlineStr">
        <is>
          <t>Energy (Hartree)</t>
        </is>
      </c>
      <c r="D1" s="1" t="inlineStr">
        <is>
          <t>ΔE</t>
        </is>
      </c>
      <c r="E1" s="1" t="inlineStr">
        <is>
          <t>dE/dR (finite diff)</t>
        </is>
      </c>
      <c r="F1" s="1" t="inlineStr">
        <is>
          <t>Comment</t>
        </is>
      </c>
    </row>
    <row r="2">
      <c r="A2" s="2" t="inlineStr">
        <is>
          <t>H2</t>
        </is>
      </c>
      <c r="B2" s="2" t="n">
        <v>0.6</v>
      </c>
      <c r="C2" s="2" t="n">
        <v>-1.05</v>
      </c>
      <c r="D2" s="2" t="inlineStr"/>
      <c r="E2" s="2" t="inlineStr"/>
      <c r="F2" s="2" t="inlineStr">
        <is>
          <t>too short</t>
        </is>
      </c>
    </row>
    <row r="3">
      <c r="A3" s="2" t="inlineStr">
        <is>
          <t>H2</t>
        </is>
      </c>
      <c r="B3" s="2" t="n">
        <v>0.7</v>
      </c>
      <c r="C3" s="2" t="n">
        <v>-1.12</v>
      </c>
      <c r="D3" s="2">
        <f>C3-$C$3</f>
        <v/>
      </c>
      <c r="E3" s="2">
        <f>IF(ROW()=3,"",(C3-OFFSET(C3,-1,0))/(B3-OFFSET(B3,-1,0)))</f>
        <v/>
      </c>
      <c r="F3" s="2" t="inlineStr"/>
    </row>
    <row r="4">
      <c r="A4" s="2" t="inlineStr">
        <is>
          <t>H2</t>
        </is>
      </c>
      <c r="B4" s="2" t="n">
        <v>0.74</v>
      </c>
      <c r="C4" s="2" t="n">
        <v>-1.131</v>
      </c>
      <c r="D4" s="2">
        <f>C4-$C$3</f>
        <v/>
      </c>
      <c r="E4" s="2">
        <f>IF(ROW()=4,"",(C4-OFFSET(C4,-1,0))/(B4-OFFSET(B4,-1,0)))</f>
        <v/>
      </c>
      <c r="F4" s="2" t="inlineStr">
        <is>
          <t>equilibrium</t>
        </is>
      </c>
    </row>
    <row r="5">
      <c r="A5" s="2" t="inlineStr">
        <is>
          <t>H2</t>
        </is>
      </c>
      <c r="B5" s="2" t="n">
        <v>0.8</v>
      </c>
      <c r="C5" s="2" t="n">
        <v>-1.125</v>
      </c>
      <c r="D5" s="2">
        <f>C5-$C$3</f>
        <v/>
      </c>
      <c r="E5" s="2">
        <f>IF(ROW()=5,"",(C5-OFFSET(C5,-1,0))/(B5-OFFSET(B5,-1,0)))</f>
        <v/>
      </c>
      <c r="F5" s="2" t="inlineStr">
        <is>
          <t>stretched</t>
        </is>
      </c>
    </row>
    <row r="6">
      <c r="A6" s="2" t="inlineStr">
        <is>
          <t>H2</t>
        </is>
      </c>
      <c r="B6" s="2" t="n">
        <v>0.9</v>
      </c>
      <c r="C6" s="2" t="n">
        <v>-1.12</v>
      </c>
      <c r="D6" s="2">
        <f>C6-$C$3</f>
        <v/>
      </c>
      <c r="E6" s="2">
        <f>IF(ROW()=6,"",(C6-OFFSET(C6,-1,0))/(B6-OFFSET(B6,-1,0)))</f>
        <v/>
      </c>
      <c r="F6" s="2" t="inlineStr">
        <is>
          <t>more stretched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4" customWidth="1" min="12" max="12"/>
    <col width="22" customWidth="1" min="13" max="13"/>
    <col width="14" customWidth="1" min="14" max="14"/>
    <col width="10" customWidth="1" min="15" max="15"/>
    <col width="8" customWidth="1" min="16" max="16"/>
    <col width="30" customWidth="1" min="17" max="17"/>
  </cols>
  <sheetData>
    <row r="1">
      <c r="A1" s="1" t="inlineStr">
        <is>
          <t>Material</t>
        </is>
      </c>
      <c r="B1" s="1" t="inlineStr">
        <is>
          <t>Ge%</t>
        </is>
      </c>
      <c r="C1" s="1" t="inlineStr">
        <is>
          <t>Ga%</t>
        </is>
      </c>
      <c r="D1" s="1" t="inlineStr">
        <is>
          <t>Sb%</t>
        </is>
      </c>
      <c r="E1" s="1" t="inlineStr">
        <is>
          <t>Te%</t>
        </is>
      </c>
      <c r="F1" s="1" t="inlineStr">
        <is>
          <t>Se%</t>
        </is>
      </c>
      <c r="G1" s="1" t="inlineStr">
        <is>
          <t>Al%</t>
        </is>
      </c>
      <c r="H1" s="1" t="inlineStr">
        <is>
          <t>Nb%</t>
        </is>
      </c>
      <c r="I1" s="1" t="inlineStr">
        <is>
          <t>N%</t>
        </is>
      </c>
      <c r="J1" s="1" t="inlineStr">
        <is>
          <t>Sn%</t>
        </is>
      </c>
      <c r="K1" s="1" t="inlineStr">
        <is>
          <t>Ti%</t>
        </is>
      </c>
      <c r="L1" s="1" t="inlineStr">
        <is>
          <t>Phase</t>
        </is>
      </c>
      <c r="M1" s="1" t="inlineStr">
        <is>
          <t>Target Property</t>
        </is>
      </c>
      <c r="N1" s="1" t="inlineStr">
        <is>
          <t>Measured</t>
        </is>
      </c>
      <c r="O1" s="1" t="inlineStr">
        <is>
          <t>Δ</t>
        </is>
      </c>
      <c r="P1" s="1" t="inlineStr">
        <is>
          <t>✅</t>
        </is>
      </c>
      <c r="Q1" s="1" t="inlineStr">
        <is>
          <t>Notes</t>
        </is>
      </c>
    </row>
    <row r="2">
      <c r="A2" s="2" t="inlineStr">
        <is>
          <t>GST-225</t>
        </is>
      </c>
      <c r="B2" s="2" t="n">
        <v>22</v>
      </c>
      <c r="C2" s="2" t="n">
        <v>0</v>
      </c>
      <c r="D2" s="2" t="n">
        <v>22</v>
      </c>
      <c r="E2" s="2" t="n">
        <v>56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Amorphous</t>
        </is>
      </c>
      <c r="M2" s="2" t="inlineStr">
        <is>
          <t>Eg=0.5 eV</t>
        </is>
      </c>
      <c r="N2" s="2" t="inlineStr"/>
      <c r="O2" s="2" t="inlineStr"/>
      <c r="P2" s="2">
        <f>IF(ABS(SUM(B2:K2)-100)&lt;1e-6,"OK: 100%","CHECK SUM")</f>
        <v/>
      </c>
      <c r="Q2" s="2" t="inlineStr">
        <is>
          <t>Classic GST ratio</t>
        </is>
      </c>
    </row>
    <row r="3">
      <c r="A3" s="2" t="inlineStr">
        <is>
          <t>Nb:GST</t>
        </is>
      </c>
      <c r="B3" s="2" t="n">
        <v>20</v>
      </c>
      <c r="C3" s="2" t="n">
        <v>0</v>
      </c>
      <c r="D3" s="2" t="n">
        <v>22</v>
      </c>
      <c r="E3" s="2" t="n">
        <v>55</v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0</v>
      </c>
      <c r="K3" s="2" t="n">
        <v>0</v>
      </c>
      <c r="L3" s="2" t="inlineStr">
        <is>
          <t>Crystalline</t>
        </is>
      </c>
      <c r="M3" s="2" t="inlineStr">
        <is>
          <t>ρ=1E-3 Ω·cm</t>
        </is>
      </c>
      <c r="N3" s="2" t="inlineStr"/>
      <c r="O3" s="2" t="inlineStr"/>
      <c r="P3" s="2">
        <f>IF(ABS(SUM(B3:K3)-100)&lt;1e-6,"OK: 100%","CHECK SUM")</f>
        <v/>
      </c>
      <c r="Q3" s="2" t="inlineStr"/>
    </row>
    <row r="4">
      <c r="A4" s="2" t="inlineStr">
        <is>
          <t>GeSbSe</t>
        </is>
      </c>
      <c r="B4" s="2" t="n">
        <v>33</v>
      </c>
      <c r="C4" s="2" t="n">
        <v>0</v>
      </c>
      <c r="D4" s="2" t="n">
        <v>33</v>
      </c>
      <c r="E4" s="2" t="n">
        <v>0</v>
      </c>
      <c r="F4" s="2" t="n">
        <v>34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Exploratory</t>
        </is>
      </c>
      <c r="M4" s="2" t="inlineStr">
        <is>
          <t>D* ≥ 1E12</t>
        </is>
      </c>
      <c r="N4" s="2" t="inlineStr"/>
      <c r="O4" s="2" t="inlineStr"/>
      <c r="P4" s="2">
        <f>IF(ABS(SUM(B4:K4)-100)&lt;1e-6,"OK: 100%","CHECK SUM")</f>
        <v/>
      </c>
      <c r="Q4" s="2" t="inlineStr"/>
    </row>
    <row r="5">
      <c r="A5" s="2" t="inlineStr">
        <is>
          <t>TiN capping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50</v>
      </c>
      <c r="J5" s="2" t="n">
        <v>0</v>
      </c>
      <c r="K5" s="2" t="n">
        <v>50</v>
      </c>
      <c r="L5" s="2" t="inlineStr">
        <is>
          <t>Protective</t>
        </is>
      </c>
      <c r="M5" s="2" t="inlineStr">
        <is>
          <t>Adhesion pass</t>
        </is>
      </c>
      <c r="N5" s="2" t="inlineStr"/>
      <c r="O5" s="2" t="inlineStr"/>
      <c r="P5" s="2">
        <f>IF(ABS(SUM(B5:K5)-100)&lt;1e-6,"OK: 100%","CHECK SUM")</f>
        <v/>
      </c>
      <c r="Q5" s="2" t="inlineStr"/>
    </row>
  </sheetData>
  <dataValidations count="1">
    <dataValidation sqref="L2 L3 L4 L5" showErrorMessage="1" showInputMessage="1" allowBlank="1" type="list">
      <formula1>"Amorphous,Crystalline,Protective,Exploratory"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22" customWidth="1" min="5" max="5"/>
    <col width="28" customWidth="1" min="6" max="6"/>
  </cols>
  <sheetData>
    <row r="1">
      <c r="A1" s="1" t="inlineStr">
        <is>
          <t>Molecule</t>
        </is>
      </c>
      <c r="B1" s="1" t="inlineStr">
        <is>
          <t>Mode</t>
        </is>
      </c>
      <c r="C1" s="1" t="inlineStr">
        <is>
          <t>Frequency (cm^-1)</t>
        </is>
      </c>
      <c r="D1" s="1" t="inlineStr">
        <is>
          <t>Intensity (arb)</t>
        </is>
      </c>
      <c r="E1" s="1" t="inlineStr">
        <is>
          <t>Assignment</t>
        </is>
      </c>
      <c r="F1" s="1" t="inlineStr">
        <is>
          <t>Comment</t>
        </is>
      </c>
    </row>
    <row r="2">
      <c r="A2" s="2" t="inlineStr">
        <is>
          <t>GeTe</t>
        </is>
      </c>
      <c r="B2" s="2" t="n">
        <v>1</v>
      </c>
      <c r="C2" s="2" t="n">
        <v>180</v>
      </c>
      <c r="D2" s="2" t="n">
        <v>0.6</v>
      </c>
      <c r="E2" s="2" t="inlineStr">
        <is>
          <t>Ge–Te stretch</t>
        </is>
      </c>
      <c r="F2" s="2" t="inlineStr"/>
    </row>
    <row r="3">
      <c r="A3" s="2" t="inlineStr">
        <is>
          <t>GeTe</t>
        </is>
      </c>
      <c r="B3" s="2" t="n">
        <v>2</v>
      </c>
      <c r="C3" s="2" t="n">
        <v>260</v>
      </c>
      <c r="D3" s="2" t="n">
        <v>0.8</v>
      </c>
      <c r="E3" s="2" t="inlineStr">
        <is>
          <t>Te bending</t>
        </is>
      </c>
      <c r="F3" s="2" t="inlineStr"/>
    </row>
    <row r="4">
      <c r="A4" s="2" t="inlineStr">
        <is>
          <t>Sb2Te3</t>
        </is>
      </c>
      <c r="B4" s="2" t="n">
        <v>1</v>
      </c>
      <c r="C4" s="2" t="n">
        <v>120</v>
      </c>
      <c r="D4" s="2" t="n">
        <v>0.4</v>
      </c>
      <c r="E4" s="2" t="inlineStr">
        <is>
          <t>Sb–Te lattice</t>
        </is>
      </c>
      <c r="F4" s="2" t="inlineStr"/>
    </row>
    <row r="5">
      <c r="A5" s="2" t="inlineStr">
        <is>
          <t>H2O</t>
        </is>
      </c>
      <c r="B5" s="2" t="n">
        <v>1</v>
      </c>
      <c r="C5" s="2" t="n">
        <v>3657</v>
      </c>
      <c r="D5" s="2" t="n">
        <v>1</v>
      </c>
      <c r="E5" s="2" t="inlineStr">
        <is>
          <t>O–H stretch</t>
        </is>
      </c>
      <c r="F5" s="2" t="inlineStr">
        <is>
          <t>symmetric</t>
        </is>
      </c>
    </row>
    <row r="6">
      <c r="A6" s="2" t="inlineStr">
        <is>
          <t>H2O</t>
        </is>
      </c>
      <c r="B6" s="2" t="n">
        <v>2</v>
      </c>
      <c r="C6" s="2" t="n">
        <v>1595</v>
      </c>
      <c r="D6" s="2" t="n">
        <v>0.7</v>
      </c>
      <c r="E6" s="2" t="inlineStr">
        <is>
          <t>H–O–H bend</t>
        </is>
      </c>
      <c r="F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H2 E_min (from PES)</t>
        </is>
      </c>
      <c r="B2" s="2">
        <f>MIN(Bond_Scan_PES!C2:C6)</f>
        <v/>
      </c>
      <c r="C2" s="2" t="inlineStr">
        <is>
          <t>Hartree</t>
        </is>
      </c>
    </row>
    <row r="3">
      <c r="A3" s="2" t="inlineStr">
        <is>
          <t>R at E_min</t>
        </is>
      </c>
      <c r="B3" s="2">
        <f>INDEX(Bond_Scan_PES!B2:B6, MATCH(MIN(Bond_Scan_PES!C2:C6), Bond_Scan_PES!C2:C6,0))</f>
        <v/>
      </c>
      <c r="C3" s="2" t="inlineStr">
        <is>
          <t>Å</t>
        </is>
      </c>
    </row>
    <row r="4">
      <c r="A4" s="2" t="inlineStr">
        <is>
          <t>GST-225 sum %</t>
        </is>
      </c>
      <c r="B4" s="2">
        <f>SUM(Composition_Matrix!B2:K2)</f>
        <v/>
      </c>
      <c r="C4" s="2" t="inlineStr">
        <is>
          <t>Should be 100</t>
        </is>
      </c>
    </row>
    <row r="5">
      <c r="A5" s="2" t="inlineStr">
        <is>
          <t>Nb:GST sum %</t>
        </is>
      </c>
      <c r="B5" s="2">
        <f>SUM(Composition_Matrix!B3:K3)</f>
        <v/>
      </c>
      <c r="C5" s="2" t="inlineStr">
        <is>
          <t>Should be 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40" customWidth="1" min="4" max="4"/>
    <col width="40" customWidth="1" min="5" max="5"/>
  </cols>
  <sheetData>
    <row r="1">
      <c r="A1" s="1" t="inlineStr">
        <is>
          <t>Molecule/Material</t>
        </is>
      </c>
      <c r="B1" s="1" t="inlineStr">
        <is>
          <t>Chem Property</t>
        </is>
      </c>
      <c r="C1" s="1" t="inlineStr">
        <is>
          <t>Mapped Parameter</t>
        </is>
      </c>
      <c r="D1" s="1" t="inlineStr">
        <is>
          <t>Example Circuit / Usage</t>
        </is>
      </c>
      <c r="E1" s="1" t="inlineStr">
        <is>
          <t>Notes</t>
        </is>
      </c>
    </row>
    <row r="2">
      <c r="A2" s="2" t="inlineStr">
        <is>
          <t>H2</t>
        </is>
      </c>
      <c r="B2" s="2" t="inlineStr">
        <is>
          <t>E_ref = -1.131 Hartree</t>
        </is>
      </c>
      <c r="C2" s="2" t="inlineStr">
        <is>
          <t>θ = 0.23*PI</t>
        </is>
      </c>
      <c r="D2" s="2" t="inlineStr">
        <is>
          <t>Circuit().ry(0, θ).cnot(0,1)</t>
        </is>
      </c>
      <c r="E2" s="2" t="inlineStr">
        <is>
          <t>Phase proportional to ΔE</t>
        </is>
      </c>
    </row>
    <row r="3">
      <c r="A3" s="2" t="inlineStr">
        <is>
          <t>He</t>
        </is>
      </c>
      <c r="B3" s="2" t="inlineStr">
        <is>
          <t>E_ref = -2.808 Hartree</t>
        </is>
      </c>
      <c r="C3" s="2" t="inlineStr">
        <is>
          <t>θ = 0.10*PI</t>
        </is>
      </c>
      <c r="D3" s="2" t="inlineStr">
        <is>
          <t>Circuit().ry(0, θ)</t>
        </is>
      </c>
      <c r="E3" s="2" t="inlineStr">
        <is>
          <t>Calibration</t>
        </is>
      </c>
    </row>
    <row r="4">
      <c r="A4" s="2" t="inlineStr">
        <is>
          <t>GST-225</t>
        </is>
      </c>
      <c r="B4" s="2" t="inlineStr">
        <is>
          <t>Bandgap Eg = 0.5 eV</t>
        </is>
      </c>
      <c r="C4" s="2" t="inlineStr">
        <is>
          <t>shots = 1000; depth=2</t>
        </is>
      </c>
      <c r="D4" s="2" t="inlineStr">
        <is>
          <t>VQE-style ansatz</t>
        </is>
      </c>
      <c r="E4" s="2" t="inlineStr">
        <is>
          <t>Use energy as loss 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24" customWidth="1" min="5" max="5"/>
    <col width="12" customWidth="1" min="6" max="6"/>
    <col width="18" customWidth="1" min="7" max="7"/>
  </cols>
  <sheetData>
    <row r="1">
      <c r="A1" s="1" t="inlineStr">
        <is>
          <t>Sheet</t>
        </is>
      </c>
      <c r="B1" s="1" t="inlineStr">
        <is>
          <t>RowRef</t>
        </is>
      </c>
      <c r="C1" s="1" t="inlineStr">
        <is>
          <t>Check Type</t>
        </is>
      </c>
      <c r="D1" s="1" t="inlineStr">
        <is>
          <t>Expected</t>
        </is>
      </c>
      <c r="E1" s="1" t="inlineStr">
        <is>
          <t>User Value Cell</t>
        </is>
      </c>
      <c r="F1" s="1" t="inlineStr">
        <is>
          <t>Tolerance</t>
        </is>
      </c>
      <c r="G1" s="1" t="inlineStr">
        <is>
          <t>Auto Result</t>
        </is>
      </c>
    </row>
    <row r="2">
      <c r="A2" s="2" t="inlineStr">
        <is>
          <t>Geometry_Inputs</t>
        </is>
      </c>
      <c r="B2" s="2" t="inlineStr">
        <is>
          <t>2</t>
        </is>
      </c>
      <c r="C2" s="2" t="inlineStr">
        <is>
          <t>ABS_DIFF</t>
        </is>
      </c>
      <c r="D2" s="2" t="inlineStr">
        <is>
          <t>-2.8079</t>
        </is>
      </c>
      <c r="E2" s="2" t="inlineStr">
        <is>
          <t>Geometry_Inputs!F2</t>
        </is>
      </c>
      <c r="F2" s="2" t="inlineStr">
        <is>
          <t>0.001</t>
        </is>
      </c>
      <c r="G2" s="2">
        <f>IF(AND(ISNUMBER(Geometry_Inputs!F2),ABS(Geometry_Inputs!F2-(-2.8079))&lt;=0.001),"PASS","CHECK")</f>
        <v/>
      </c>
    </row>
    <row r="3">
      <c r="A3" s="2" t="inlineStr">
        <is>
          <t>Geometry_Inputs</t>
        </is>
      </c>
      <c r="B3" s="2" t="inlineStr">
        <is>
          <t>3</t>
        </is>
      </c>
      <c r="C3" s="2" t="inlineStr">
        <is>
          <t>ABS_DIFF</t>
        </is>
      </c>
      <c r="D3" s="2" t="inlineStr">
        <is>
          <t>-1.1310</t>
        </is>
      </c>
      <c r="E3" s="2" t="inlineStr">
        <is>
          <t>Geometry_Inputs!F3</t>
        </is>
      </c>
      <c r="F3" s="2" t="inlineStr">
        <is>
          <t>0.003</t>
        </is>
      </c>
      <c r="G3" s="2">
        <f>IF(AND(ISNUMBER(Geometry_Inputs!F3),ABS(Geometry_Inputs!F3-(-1.1310))&lt;=0.003),"PASS","CHECK")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2025-10-18T00:22:28Z</dcterms:created>
  <dcterms:modified xmlns:dcterms="http://purl.org/dc/terms/" xmlns:xsi="http://www.w3.org/2001/XMLSchema-instance" xsi:type="dcterms:W3CDTF">2025-10-18T00:22:28Z</dcterms:modified>
</cp:coreProperties>
</file>