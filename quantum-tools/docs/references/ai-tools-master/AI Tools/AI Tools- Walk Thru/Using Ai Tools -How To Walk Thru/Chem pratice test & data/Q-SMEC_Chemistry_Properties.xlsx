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lectronic" sheetId="2" state="visible" r:id="rId2"/>
    <sheet xmlns:r="http://schemas.openxmlformats.org/officeDocument/2006/relationships" name="Vibrational" sheetId="3" state="visible" r:id="rId3"/>
    <sheet xmlns:r="http://schemas.openxmlformats.org/officeDocument/2006/relationships" name="Mechanical" sheetId="4" state="visible" r:id="rId4"/>
    <sheet xmlns:r="http://schemas.openxmlformats.org/officeDocument/2006/relationships" name="Optical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LinkMap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Electronic!A1" TargetMode="External" Id="rId1"/><Relationship Type="http://schemas.openxmlformats.org/officeDocument/2006/relationships/hyperlink" Target="#Vibrational!A1" TargetMode="External" Id="rId2"/><Relationship Type="http://schemas.openxmlformats.org/officeDocument/2006/relationships/hyperlink" Target="#Mechanical!A1" TargetMode="External" Id="rId3"/><Relationship Type="http://schemas.openxmlformats.org/officeDocument/2006/relationships/hyperlink" Target="#Optical!A1" TargetMode="External" Id="rId4"/><Relationship Type="http://schemas.openxmlformats.org/officeDocument/2006/relationships/hyperlink" Target="#Dashboard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22" customWidth="1" min="3" max="3"/>
  </cols>
  <sheetData>
    <row r="1">
      <c r="A1" s="1" t="inlineStr">
        <is>
          <t>Section</t>
        </is>
      </c>
      <c r="B1" s="1" t="inlineStr">
        <is>
          <t>Description</t>
        </is>
      </c>
      <c r="C1" s="1" t="inlineStr">
        <is>
          <t>Go</t>
        </is>
      </c>
    </row>
    <row r="2">
      <c r="A2" s="2" t="inlineStr">
        <is>
          <t>Electronic Properties</t>
        </is>
      </c>
      <c r="B2" s="2" t="inlineStr">
        <is>
          <t>Bandgap, DOS, mobility, Tc, linked to Composition</t>
        </is>
      </c>
      <c r="C2" s="3" t="inlineStr">
        <is>
          <t>→ Electronic</t>
        </is>
      </c>
    </row>
    <row r="3">
      <c r="A3" s="2" t="inlineStr">
        <is>
          <t>Vibrational Properties</t>
        </is>
      </c>
      <c r="B3" s="2" t="inlineStr">
        <is>
          <t>IR/Raman modes linked to Vibrational_IR</t>
        </is>
      </c>
      <c r="C3" s="3" t="inlineStr">
        <is>
          <t>→ Vibrational</t>
        </is>
      </c>
    </row>
    <row r="4">
      <c r="A4" s="2" t="inlineStr">
        <is>
          <t>Mechanical Properties</t>
        </is>
      </c>
      <c r="B4" s="2" t="inlineStr">
        <is>
          <t>ΔH proxy, elastic placeholders linked to PES</t>
        </is>
      </c>
      <c r="C4" s="3" t="inlineStr">
        <is>
          <t>→ Mechanical</t>
        </is>
      </c>
    </row>
    <row r="5">
      <c r="A5" s="2" t="inlineStr">
        <is>
          <t>Optical Properties</t>
        </is>
      </c>
      <c r="B5" s="2" t="inlineStr">
        <is>
          <t>n,k,R placeholders linked to Dashboard</t>
        </is>
      </c>
      <c r="C5" s="3" t="inlineStr">
        <is>
          <t>→ Optical</t>
        </is>
      </c>
    </row>
    <row r="6">
      <c r="A6" s="2" t="inlineStr">
        <is>
          <t>Dashboard</t>
        </is>
      </c>
      <c r="B6" s="2" t="inlineStr">
        <is>
          <t>Correlations and quick KPIs</t>
        </is>
      </c>
      <c r="C6" s="3" t="inlineStr">
        <is>
          <t>→ Dashboard</t>
        </is>
      </c>
    </row>
    <row r="7">
      <c r="A7" s="2" t="inlineStr">
        <is>
          <t>LinkMap (hidden)</t>
        </is>
      </c>
      <c r="B7" s="2" t="inlineStr">
        <is>
          <t>All external links and targets</t>
        </is>
      </c>
      <c r="C7" s="2" t="inlineStr">
        <is>
          <t>→ LinkMap</t>
        </is>
      </c>
    </row>
    <row r="9">
      <c r="A9" s="4" t="inlineStr">
        <is>
          <t>Refresh Sync</t>
        </is>
      </c>
      <c r="B9" t="inlineStr">
        <is>
          <t>Use the provided VBA macro (RefreshAllLinks.bas). In Excel: Developer → Visual Basic → Import File → select .bas. Insert a button and assign macro 'RefreshAllLinks'.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6" customWidth="1" min="4" max="4"/>
    <col width="30" customWidth="1" min="5" max="5"/>
    <col width="14" customWidth="1" min="6" max="6"/>
    <col width="12" customWidth="1" min="7" max="7"/>
    <col width="10" customWidth="1" min="8" max="8"/>
    <col width="36" customWidth="1" min="9" max="9"/>
  </cols>
  <sheetData>
    <row r="1">
      <c r="A1" s="1" t="inlineStr">
        <is>
          <t>Material</t>
        </is>
      </c>
      <c r="B1" s="1" t="inlineStr">
        <is>
          <t>Method</t>
        </is>
      </c>
      <c r="C1" s="1" t="inlineStr">
        <is>
          <t>Basis</t>
        </is>
      </c>
      <c r="D1" s="1" t="inlineStr">
        <is>
          <t>Eg Target (from Source)</t>
        </is>
      </c>
      <c r="E1" s="1" t="inlineStr">
        <is>
          <t>Linked Target Cell</t>
        </is>
      </c>
      <c r="F1" s="1" t="inlineStr">
        <is>
          <t>User Eg (eV)</t>
        </is>
      </c>
      <c r="G1" s="1" t="inlineStr">
        <is>
          <t>ΔEg</t>
        </is>
      </c>
      <c r="H1" s="1" t="inlineStr">
        <is>
          <t>Tc (K)</t>
        </is>
      </c>
      <c r="I1" s="1" t="inlineStr">
        <is>
          <t>Notes</t>
        </is>
      </c>
    </row>
    <row r="2">
      <c r="A2" s="2" t="inlineStr">
        <is>
          <t>GST-225</t>
        </is>
      </c>
      <c r="B2" s="2" t="inlineStr">
        <is>
          <t>DFT-PBE</t>
        </is>
      </c>
      <c r="C2" s="2" t="inlineStr">
        <is>
          <t>def2-SVP</t>
        </is>
      </c>
      <c r="D2" s="2">
        <f> '[Q-SMEC_Chemistry_Workbook.xlsx]Composition_Matrix'!M2</f>
        <v/>
      </c>
      <c r="E2" s="2" t="inlineStr">
        <is>
          <t>'[Q-SMEC_Chemistry_Workbook.xlsx]Composition_Matrix'!M2</t>
        </is>
      </c>
      <c r="F2" s="2" t="inlineStr"/>
      <c r="G2" s="2">
        <f>IF(F2&lt;&gt;"",F2-0.55,"")</f>
        <v/>
      </c>
      <c r="H2" s="2" t="inlineStr"/>
      <c r="I2" s="2" t="inlineStr">
        <is>
          <t>Target string like Eg=0.5 eV; enter numeric in User Eg</t>
        </is>
      </c>
    </row>
    <row r="3">
      <c r="A3" s="2" t="inlineStr">
        <is>
          <t>Nb:GST</t>
        </is>
      </c>
      <c r="B3" s="2" t="inlineStr">
        <is>
          <t>B3LYP</t>
        </is>
      </c>
      <c r="C3" s="2" t="inlineStr">
        <is>
          <t>6-31G*</t>
        </is>
      </c>
      <c r="D3" s="2">
        <f> '[Q-SMEC_Chemistry_Workbook.xlsx]Composition_Matrix'!M3</f>
        <v/>
      </c>
      <c r="E3" s="2" t="inlineStr">
        <is>
          <t>'[Q-SMEC_Chemistry_Workbook.xlsx]Composition_Matrix'!M3</t>
        </is>
      </c>
      <c r="F3" s="2" t="inlineStr"/>
      <c r="G3" s="2">
        <f>IF(F3&lt;&gt;"",F3-0.5,"")</f>
        <v/>
      </c>
      <c r="H3" s="2" t="inlineStr"/>
      <c r="I3" s="2" t="inlineStr"/>
    </row>
    <row r="4">
      <c r="A4" s="2" t="inlineStr">
        <is>
          <t>GeSbSe</t>
        </is>
      </c>
      <c r="B4" s="2" t="inlineStr">
        <is>
          <t>TD-DFT</t>
        </is>
      </c>
      <c r="C4" s="2" t="inlineStr">
        <is>
          <t>def2-SVP</t>
        </is>
      </c>
      <c r="D4" s="2">
        <f> '[Q-SMEC_Chemistry_Workbook.xlsx]Composition_Matrix'!M4</f>
        <v/>
      </c>
      <c r="E4" s="2" t="inlineStr">
        <is>
          <t>'[Q-SMEC_Chemistry_Workbook.xlsx]Composition_Matrix'!M4</t>
        </is>
      </c>
      <c r="F4" s="2" t="inlineStr"/>
      <c r="G4" s="2" t="inlineStr"/>
      <c r="H4" s="2" t="inlineStr"/>
      <c r="I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14" customWidth="1" min="4" max="4"/>
    <col width="24" customWidth="1" min="5" max="5"/>
    <col width="16" customWidth="1" min="6" max="6"/>
  </cols>
  <sheetData>
    <row r="1">
      <c r="A1" s="1" t="inlineStr">
        <is>
          <t>Material/Molecule</t>
        </is>
      </c>
      <c r="B1" s="1" t="inlineStr">
        <is>
          <t>Mode</t>
        </is>
      </c>
      <c r="C1" s="1" t="inlineStr">
        <is>
          <t>Frequency (cm^-1)</t>
        </is>
      </c>
      <c r="D1" s="1" t="inlineStr">
        <is>
          <t>Intensity</t>
        </is>
      </c>
      <c r="E1" s="1" t="inlineStr">
        <is>
          <t>Assignment</t>
        </is>
      </c>
      <c r="F1" s="1" t="inlineStr">
        <is>
          <t>Linked Source Row</t>
        </is>
      </c>
    </row>
    <row r="2">
      <c r="A2" s="2" t="inlineStr">
        <is>
          <t>GeTe</t>
        </is>
      </c>
      <c r="B2" s="2" t="inlineStr">
        <is>
          <t>1</t>
        </is>
      </c>
      <c r="C2" s="2">
        <f> '[Q-SMEC_Chemistry_Workbook.xlsx]Vibrational_IR'!C2</f>
        <v/>
      </c>
      <c r="D2" s="2">
        <f> '[Q-SMEC_Chemistry_Workbook.xlsx]Vibrational_IR'!D2</f>
        <v/>
      </c>
      <c r="E2" s="2">
        <f> '[Q-SMEC_Chemistry_Workbook.xlsx]Vibrational_IR'!E2</f>
        <v/>
      </c>
      <c r="F2" s="2" t="inlineStr">
        <is>
          <t>2</t>
        </is>
      </c>
    </row>
    <row r="3">
      <c r="A3" s="2" t="inlineStr">
        <is>
          <t>GeTe</t>
        </is>
      </c>
      <c r="B3" s="2" t="inlineStr">
        <is>
          <t>2</t>
        </is>
      </c>
      <c r="C3" s="2">
        <f> '[Q-SMEC_Chemistry_Workbook.xlsx]Vibrational_IR'!C3</f>
        <v/>
      </c>
      <c r="D3" s="2">
        <f> '[Q-SMEC_Chemistry_Workbook.xlsx]Vibrational_IR'!D3</f>
        <v/>
      </c>
      <c r="E3" s="2">
        <f> '[Q-SMEC_Chemistry_Workbook.xlsx]Vibrational_IR'!E3</f>
        <v/>
      </c>
      <c r="F3" s="2" t="inlineStr">
        <is>
          <t>3</t>
        </is>
      </c>
    </row>
    <row r="4">
      <c r="A4" s="2" t="inlineStr">
        <is>
          <t>Sb2Te3</t>
        </is>
      </c>
      <c r="B4" s="2" t="inlineStr">
        <is>
          <t>1</t>
        </is>
      </c>
      <c r="C4" s="2">
        <f> '[Q-SMEC_Chemistry_Workbook.xlsx]Vibrational_IR'!C4</f>
        <v/>
      </c>
      <c r="D4" s="2">
        <f> '[Q-SMEC_Chemistry_Workbook.xlsx]Vibrational_IR'!D4</f>
        <v/>
      </c>
      <c r="E4" s="2">
        <f> '[Q-SMEC_Chemistry_Workbook.xlsx]Vibrational_IR'!E4</f>
        <v/>
      </c>
      <c r="F4" s="2" t="inlineStr">
        <is>
          <t>4</t>
        </is>
      </c>
    </row>
    <row r="5">
      <c r="A5" s="2" t="inlineStr">
        <is>
          <t>H2O</t>
        </is>
      </c>
      <c r="B5" s="2" t="inlineStr">
        <is>
          <t>1</t>
        </is>
      </c>
      <c r="C5" s="2">
        <f> '[Q-SMEC_Chemistry_Workbook.xlsx]Vibrational_IR'!C5</f>
        <v/>
      </c>
      <c r="D5" s="2">
        <f> '[Q-SMEC_Chemistry_Workbook.xlsx]Vibrational_IR'!D5</f>
        <v/>
      </c>
      <c r="E5" s="2">
        <f> '[Q-SMEC_Chemistry_Workbook.xlsx]Vibrational_IR'!E5</f>
        <v/>
      </c>
      <c r="F5" s="2" t="inlineStr">
        <is>
          <t>5</t>
        </is>
      </c>
    </row>
    <row r="6">
      <c r="A6" s="2" t="inlineStr">
        <is>
          <t>H2O</t>
        </is>
      </c>
      <c r="B6" s="2" t="inlineStr">
        <is>
          <t>2</t>
        </is>
      </c>
      <c r="C6" s="2">
        <f> '[Q-SMEC_Chemistry_Workbook.xlsx]Vibrational_IR'!C6</f>
        <v/>
      </c>
      <c r="D6" s="2">
        <f> '[Q-SMEC_Chemistry_Workbook.xlsx]Vibrational_IR'!D6</f>
        <v/>
      </c>
      <c r="E6" s="2">
        <f> '[Q-SMEC_Chemistry_Workbook.xlsx]Vibrational_IR'!E6</f>
        <v/>
      </c>
      <c r="F6" s="2" t="inlineStr">
        <is>
          <t>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4" customWidth="1" min="4" max="4"/>
    <col width="20" customWidth="1" min="5" max="5"/>
    <col width="20" customWidth="1" min="6" max="6"/>
    <col width="18" customWidth="1" min="7" max="7"/>
    <col width="40" customWidth="1" min="8" max="8"/>
  </cols>
  <sheetData>
    <row r="1">
      <c r="A1" s="1" t="inlineStr">
        <is>
          <t>Material</t>
        </is>
      </c>
      <c r="B1" s="1" t="inlineStr">
        <is>
          <t>Phase</t>
        </is>
      </c>
      <c r="C1" s="1" t="inlineStr">
        <is>
          <t>ΔH Proxy (Hartree)</t>
        </is>
      </c>
      <c r="D1" s="1" t="inlineStr">
        <is>
          <t>Linked E_min (Hartree)</t>
        </is>
      </c>
      <c r="E1" s="1" t="inlineStr">
        <is>
          <t>R at E_min (Å)</t>
        </is>
      </c>
      <c r="F1" s="1" t="inlineStr">
        <is>
          <t>Elastic Modulus (GPa)</t>
        </is>
      </c>
      <c r="G1" s="1" t="inlineStr">
        <is>
          <t>Hardness (GPa)</t>
        </is>
      </c>
      <c r="H1" s="1" t="inlineStr">
        <is>
          <t>Notes</t>
        </is>
      </c>
    </row>
    <row r="2">
      <c r="A2" s="2" t="inlineStr">
        <is>
          <t>GST-225</t>
        </is>
      </c>
      <c r="B2" s="2" t="inlineStr">
        <is>
          <t>Amorphous</t>
        </is>
      </c>
      <c r="C2" s="2" t="inlineStr"/>
      <c r="D2" s="2">
        <f> '[Q-SMEC_Chemistry_Workbook.xlsx]Property_Dashboard'!B2</f>
        <v/>
      </c>
      <c r="E2" s="2">
        <f> '[Q-SMEC_Chemistry_Workbook.xlsx]Property_Dashboard'!B3</f>
        <v/>
      </c>
      <c r="F2" s="2" t="inlineStr"/>
      <c r="G2" s="2" t="inlineStr"/>
      <c r="H2" s="2" t="inlineStr">
        <is>
          <t>ΔH proxy derived from PES min; convert to eV if desired</t>
        </is>
      </c>
    </row>
    <row r="3">
      <c r="A3" s="2" t="inlineStr">
        <is>
          <t>Nb:GST</t>
        </is>
      </c>
      <c r="B3" s="2" t="inlineStr">
        <is>
          <t>Crystalline</t>
        </is>
      </c>
      <c r="C3" s="2" t="inlineStr"/>
      <c r="D3" s="2">
        <f> '[Q-SMEC_Chemistry_Workbook.xlsx]Property_Dashboard'!B2</f>
        <v/>
      </c>
      <c r="E3" s="2">
        <f> '[Q-SMEC_Chemistry_Workbook.xlsx]Property_Dashboard'!B3</f>
        <v/>
      </c>
      <c r="F3" s="2" t="inlineStr"/>
      <c r="G3" s="2" t="inlineStr"/>
      <c r="H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2" customWidth="1" min="5" max="5"/>
    <col width="16" customWidth="1" min="6" max="6"/>
    <col width="28" customWidth="1" min="7" max="7"/>
    <col width="36" customWidth="1" min="8" max="8"/>
  </cols>
  <sheetData>
    <row r="1">
      <c r="A1" s="1" t="inlineStr">
        <is>
          <t>Material</t>
        </is>
      </c>
      <c r="B1" s="1" t="inlineStr">
        <is>
          <t>Method</t>
        </is>
      </c>
      <c r="C1" s="1" t="inlineStr">
        <is>
          <t>n (refractive)</t>
        </is>
      </c>
      <c r="D1" s="1" t="inlineStr">
        <is>
          <t>k (extinction)</t>
        </is>
      </c>
      <c r="E1" s="1" t="inlineStr">
        <is>
          <t>R (%)</t>
        </is>
      </c>
      <c r="F1" s="1" t="inlineStr">
        <is>
          <t>Eg (from Electronic)</t>
        </is>
      </c>
      <c r="G1" s="1" t="inlineStr">
        <is>
          <t>R formula</t>
        </is>
      </c>
      <c r="H1" s="1" t="inlineStr">
        <is>
          <t>Notes</t>
        </is>
      </c>
    </row>
    <row r="2">
      <c r="A2" s="2" t="inlineStr">
        <is>
          <t>GST-225</t>
        </is>
      </c>
      <c r="B2" s="2" t="inlineStr">
        <is>
          <t>TD-DFT</t>
        </is>
      </c>
      <c r="C2" s="2" t="inlineStr"/>
      <c r="D2" s="2" t="inlineStr"/>
      <c r="E2" s="2" t="inlineStr"/>
      <c r="F2" s="2">
        <f>'Electronic'!F2</f>
        <v/>
      </c>
      <c r="G2" s="2">
        <f>IF(AND(C2&lt;&gt;"",D2&lt;&gt;""), ((C2-1)^2 + (D2^2))/((C2+1)^2 + (D2^2))*100, "" )</f>
        <v/>
      </c>
      <c r="H2" s="2" t="inlineStr">
        <is>
          <t>Enter n,k to compute R; Eg pulled from Electronic</t>
        </is>
      </c>
    </row>
    <row r="3">
      <c r="A3" s="2" t="inlineStr">
        <is>
          <t>GeSbSe</t>
        </is>
      </c>
      <c r="B3" s="2" t="inlineStr">
        <is>
          <t>TD-DFT</t>
        </is>
      </c>
      <c r="C3" s="2" t="inlineStr"/>
      <c r="D3" s="2" t="inlineStr"/>
      <c r="E3" s="2" t="inlineStr"/>
      <c r="F3" s="2">
        <f>'Electronic'!F4</f>
        <v/>
      </c>
      <c r="G3" s="2">
        <f>IF(AND(C3&lt;&gt;"",D3&lt;&gt;""), ((C3-1)^2 + (D3^2))/((C3+1)^2 + (D3^2))*100, "" )</f>
        <v/>
      </c>
      <c r="H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Eg GST-225 (eV)</t>
        </is>
      </c>
      <c r="B2" s="2">
        <f>'Electronic'!F2</f>
        <v/>
      </c>
      <c r="C2" s="2" t="inlineStr">
        <is>
          <t>User-entered or parsed numeric</t>
        </is>
      </c>
    </row>
    <row r="3">
      <c r="A3" s="2" t="inlineStr">
        <is>
          <t>ΔEg vs 0.55 (eV)</t>
        </is>
      </c>
      <c r="B3" s="2">
        <f>'Electronic'!G2</f>
        <v/>
      </c>
      <c r="C3" s="2" t="inlineStr">
        <is>
          <t>Tolerance ±0.05</t>
        </is>
      </c>
    </row>
    <row r="4">
      <c r="A4" s="2" t="inlineStr">
        <is>
          <t>PES E_min (Hartree)</t>
        </is>
      </c>
      <c r="B4" s="2">
        <f> '[Q-SMEC_Chemistry_Workbook.xlsx]Property_Dashboard'!B2</f>
        <v/>
      </c>
      <c r="C4" s="2" t="inlineStr">
        <is>
          <t>linked</t>
        </is>
      </c>
    </row>
    <row r="5">
      <c r="A5" s="2" t="inlineStr">
        <is>
          <t>R at E_min (Å)</t>
        </is>
      </c>
      <c r="B5" s="2">
        <f> '[Q-SMEC_Chemistry_Workbook.xlsx]Property_Dashboard'!B3</f>
        <v/>
      </c>
      <c r="C5" s="2" t="inlineStr">
        <is>
          <t>linked</t>
        </is>
      </c>
    </row>
    <row r="6">
      <c r="A6" s="2" t="inlineStr">
        <is>
          <t>Optical R% for GST-225</t>
        </is>
      </c>
      <c r="B6" s="2">
        <f>'Optical'!E2</f>
        <v/>
      </c>
      <c r="C6" s="2" t="inlineStr">
        <is>
          <t>computed from n,k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22" customWidth="1" min="4" max="4"/>
    <col width="12" customWidth="1" min="5" max="5"/>
    <col width="40" customWidth="1" min="6" max="6"/>
  </cols>
  <sheetData>
    <row r="1">
      <c r="A1" s="1" t="inlineStr">
        <is>
          <t>TargetSheet</t>
        </is>
      </c>
      <c r="B1" s="1" t="inlineStr">
        <is>
          <t>TargetCell</t>
        </is>
      </c>
      <c r="C1" s="1" t="inlineStr">
        <is>
          <t>SourceWorkbook</t>
        </is>
      </c>
      <c r="D1" s="1" t="inlineStr">
        <is>
          <t>SourceSheet</t>
        </is>
      </c>
      <c r="E1" s="1" t="inlineStr">
        <is>
          <t>SourceCell</t>
        </is>
      </c>
      <c r="F1" s="1" t="inlineStr">
        <is>
          <t>Description</t>
        </is>
      </c>
    </row>
    <row r="2">
      <c r="A2" s="2" t="inlineStr">
        <is>
          <t>Electronic</t>
        </is>
      </c>
      <c r="B2" s="2" t="inlineStr">
        <is>
          <t>D2</t>
        </is>
      </c>
      <c r="C2" s="2" t="inlineStr">
        <is>
          <t>Q-SMEC_Chemistry_Workbook.xlsx</t>
        </is>
      </c>
      <c r="D2" s="2" t="inlineStr">
        <is>
          <t>Composition_Matrix</t>
        </is>
      </c>
      <c r="E2" s="2" t="inlineStr">
        <is>
          <t>M2</t>
        </is>
      </c>
      <c r="F2" s="2" t="inlineStr">
        <is>
          <t>Target property text (Eg=...)</t>
        </is>
      </c>
    </row>
    <row r="3">
      <c r="A3" s="2" t="inlineStr">
        <is>
          <t>Electronic</t>
        </is>
      </c>
      <c r="B3" s="2" t="inlineStr">
        <is>
          <t>D3</t>
        </is>
      </c>
      <c r="C3" s="2" t="inlineStr">
        <is>
          <t>Q-SMEC_Chemistry_Workbook.xlsx</t>
        </is>
      </c>
      <c r="D3" s="2" t="inlineStr">
        <is>
          <t>Composition_Matrix</t>
        </is>
      </c>
      <c r="E3" s="2" t="inlineStr">
        <is>
          <t>M3</t>
        </is>
      </c>
      <c r="F3" s="2" t="inlineStr">
        <is>
          <t>Target property text</t>
        </is>
      </c>
    </row>
    <row r="4">
      <c r="A4" s="2" t="inlineStr">
        <is>
          <t>Electronic</t>
        </is>
      </c>
      <c r="B4" s="2" t="inlineStr">
        <is>
          <t>D4</t>
        </is>
      </c>
      <c r="C4" s="2" t="inlineStr">
        <is>
          <t>Q-SMEC_Chemistry_Workbook.xlsx</t>
        </is>
      </c>
      <c r="D4" s="2" t="inlineStr">
        <is>
          <t>Composition_Matrix</t>
        </is>
      </c>
      <c r="E4" s="2" t="inlineStr">
        <is>
          <t>M4</t>
        </is>
      </c>
      <c r="F4" s="2" t="inlineStr">
        <is>
          <t>Target property text</t>
        </is>
      </c>
    </row>
    <row r="5">
      <c r="A5" s="2" t="inlineStr">
        <is>
          <t>Vibrational</t>
        </is>
      </c>
      <c r="B5" s="2" t="inlineStr">
        <is>
          <t>C2</t>
        </is>
      </c>
      <c r="C5" s="2" t="inlineStr">
        <is>
          <t>Q-SMEC_Chemistry_Workbook.xlsx</t>
        </is>
      </c>
      <c r="D5" s="2" t="inlineStr">
        <is>
          <t>Vibrational_IR</t>
        </is>
      </c>
      <c r="E5" s="2" t="inlineStr">
        <is>
          <t>C2</t>
        </is>
      </c>
      <c r="F5" s="2" t="inlineStr">
        <is>
          <t>Frequency link</t>
        </is>
      </c>
    </row>
    <row r="6">
      <c r="A6" s="2" t="inlineStr">
        <is>
          <t>Vibrational</t>
        </is>
      </c>
      <c r="B6" s="2" t="inlineStr">
        <is>
          <t>D2</t>
        </is>
      </c>
      <c r="C6" s="2" t="inlineStr">
        <is>
          <t>Q-SMEC_Chemistry_Workbook.xlsx</t>
        </is>
      </c>
      <c r="D6" s="2" t="inlineStr">
        <is>
          <t>Vibrational_IR</t>
        </is>
      </c>
      <c r="E6" s="2" t="inlineStr">
        <is>
          <t>D2</t>
        </is>
      </c>
      <c r="F6" s="2" t="inlineStr">
        <is>
          <t>Intensity link</t>
        </is>
      </c>
    </row>
    <row r="7">
      <c r="A7" s="2" t="inlineStr">
        <is>
          <t>Vibrational</t>
        </is>
      </c>
      <c r="B7" s="2" t="inlineStr">
        <is>
          <t>E2</t>
        </is>
      </c>
      <c r="C7" s="2" t="inlineStr">
        <is>
          <t>Q-SMEC_Chemistry_Workbook.xlsx</t>
        </is>
      </c>
      <c r="D7" s="2" t="inlineStr">
        <is>
          <t>Vibrational_IR</t>
        </is>
      </c>
      <c r="E7" s="2" t="inlineStr">
        <is>
          <t>E2</t>
        </is>
      </c>
      <c r="F7" s="2" t="inlineStr">
        <is>
          <t>Assignment link</t>
        </is>
      </c>
    </row>
    <row r="8">
      <c r="A8" s="2" t="inlineStr">
        <is>
          <t>Mechanical</t>
        </is>
      </c>
      <c r="B8" s="2" t="inlineStr">
        <is>
          <t>D2</t>
        </is>
      </c>
      <c r="C8" s="2" t="inlineStr">
        <is>
          <t>Q-SMEC_Chemistry_Workbook.xlsx</t>
        </is>
      </c>
      <c r="D8" s="2" t="inlineStr">
        <is>
          <t>Property_Dashboard</t>
        </is>
      </c>
      <c r="E8" s="2" t="inlineStr">
        <is>
          <t>B2</t>
        </is>
      </c>
      <c r="F8" s="2" t="inlineStr">
        <is>
          <t>E_min link</t>
        </is>
      </c>
    </row>
    <row r="9">
      <c r="A9" s="2" t="inlineStr">
        <is>
          <t>Mechanical</t>
        </is>
      </c>
      <c r="B9" s="2" t="inlineStr">
        <is>
          <t>E2</t>
        </is>
      </c>
      <c r="C9" s="2" t="inlineStr">
        <is>
          <t>Q-SMEC_Chemistry_Workbook.xlsx</t>
        </is>
      </c>
      <c r="D9" s="2" t="inlineStr">
        <is>
          <t>Property_Dashboard</t>
        </is>
      </c>
      <c r="E9" s="2" t="inlineStr">
        <is>
          <t>B3</t>
        </is>
      </c>
      <c r="F9" s="2" t="inlineStr">
        <is>
          <t>R at E_min link</t>
        </is>
      </c>
    </row>
    <row r="10">
      <c r="A10" s="2" t="inlineStr">
        <is>
          <t>Dashboard</t>
        </is>
      </c>
      <c r="B10" s="2" t="inlineStr">
        <is>
          <t>B4</t>
        </is>
      </c>
      <c r="C10" s="2" t="inlineStr">
        <is>
          <t>Q-SMEC_Chemistry_Workbook.xlsx</t>
        </is>
      </c>
      <c r="D10" s="2" t="inlineStr">
        <is>
          <t>Property_Dashboard</t>
        </is>
      </c>
      <c r="E10" s="2" t="inlineStr">
        <is>
          <t>B2</t>
        </is>
      </c>
      <c r="F10" s="2" t="inlineStr">
        <is>
          <t>Summary E_min</t>
        </is>
      </c>
    </row>
    <row r="11">
      <c r="A11" s="2" t="inlineStr">
        <is>
          <t>Dashboard</t>
        </is>
      </c>
      <c r="B11" s="2" t="inlineStr">
        <is>
          <t>B5</t>
        </is>
      </c>
      <c r="C11" s="2" t="inlineStr">
        <is>
          <t>Q-SMEC_Chemistry_Workbook.xlsx</t>
        </is>
      </c>
      <c r="D11" s="2" t="inlineStr">
        <is>
          <t>Property_Dashboard</t>
        </is>
      </c>
      <c r="E11" s="2" t="inlineStr">
        <is>
          <t>B3</t>
        </is>
      </c>
      <c r="F11" s="2" t="inlineStr">
        <is>
          <t>Summary R at E_min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2025-10-18T00:22:28Z</dcterms:created>
  <dcterms:modified xmlns:dcterms="http://purl.org/dc/terms/" xmlns:xsi="http://www.w3.org/2001/XMLSchema-instance" xsi:type="dcterms:W3CDTF">2025-10-18T00:22:28Z</dcterms:modified>
</cp:coreProperties>
</file>